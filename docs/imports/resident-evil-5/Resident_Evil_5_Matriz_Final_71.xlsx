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ables/table16.xml" ContentType="application/vnd.openxmlformats-officedocument.spreadsheetml.table+xml"/>
  <Override PartName="/xl/worksheets/sheet2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d55c64b90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d92407239bde4f7c"/>
    <x:sheet xmlns:r="http://schemas.openxmlformats.org/officeDocument/2006/relationships" name="Dossie" sheetId="2" r:id="R7a5d74f1268a4a22"/>
    <x:sheet xmlns:r="http://schemas.openxmlformats.org/officeDocument/2006/relationships" name="Inventario" sheetId="3" r:id="R88e4963a9a6945be"/>
    <x:sheet xmlns:r="http://schemas.openxmlformats.org/officeDocument/2006/relationships" name="Matriz_71" sheetId="4" r:id="Ra59bc99d0d3b4534"/>
    <x:sheet xmlns:r="http://schemas.openxmlformats.org/officeDocument/2006/relationships" name="Dependencias" sheetId="5" r:id="R20b0f44fa37c4343"/>
    <x:sheet xmlns:r="http://schemas.openxmlformats.org/officeDocument/2006/relationships" name="Campanhas" sheetId="6" r:id="R2caf3886b4b2482b"/>
    <x:sheet xmlns:r="http://schemas.openxmlformats.org/officeDocument/2006/relationships" name="Divergencias" sheetId="7" r:id="R89c6bf4f70324b1f"/>
    <x:sheet xmlns:r="http://schemas.openxmlformats.org/officeDocument/2006/relationships" name="Incertezas" sheetId="8" r:id="Rd786629e1d2e4c9e"/>
    <x:sheet xmlns:r="http://schemas.openxmlformats.org/officeDocument/2006/relationships" name="Rota_Preliminar" sheetId="9" r:id="R2f8813b1bbb54eb7"/>
    <x:sheet xmlns:r="http://schemas.openxmlformats.org/officeDocument/2006/relationships" name="Auditoria" sheetId="10" r:id="Rd2943e6947a444a8"/>
    <x:sheet xmlns:r="http://schemas.openxmlformats.org/officeDocument/2006/relationships" name="Fontes" sheetId="11" r:id="R5b19b2c07edf47f0"/>
    <x:sheet xmlns:r="http://schemas.openxmlformats.org/officeDocument/2006/relationships" name="BSAA_30" sheetId="12" r:id="R0549f31a6d264c4f"/>
    <x:sheet xmlns:r="http://schemas.openxmlformats.org/officeDocument/2006/relationships" name="Tesouros_50" sheetId="13" r:id="R074b1bea47ce4896"/>
    <x:sheet xmlns:r="http://schemas.openxmlformats.org/officeDocument/2006/relationships" name="Stockpile_27" sheetId="14" r:id="R138e2cb839ed4ced"/>
    <x:sheet xmlns:r="http://schemas.openxmlformats.org/officeDocument/2006/relationships" name="Upgrades_18" sheetId="15" r:id="Rfdb5f9fddfc74002"/>
    <x:sheet xmlns:r="http://schemas.openxmlformats.org/officeDocument/2006/relationships" name="Versus" sheetId="16" r:id="Ra604531e09294047"/>
    <x:sheet xmlns:r="http://schemas.openxmlformats.org/officeDocument/2006/relationships" name="DLC_Detalhes" sheetId="17" r:id="R32d5cb078e3d4479"/>
    <x:sheet xmlns:r="http://schemas.openxmlformats.org/officeDocument/2006/relationships" name="Rota_Definitiva" sheetId="18" r:id="R23b7009cc50d490a"/>
    <x:sheet xmlns:r="http://schemas.openxmlformats.org/officeDocument/2006/relationships" name="Cobertura_Rota" sheetId="19" r:id="Re44bda93bce844ec"/>
    <x:sheet xmlns:r="http://schemas.openxmlformats.org/officeDocument/2006/relationships" name="Capitulos_Base" sheetId="20" r:id="R2fc865edbd2e4947"/>
    <x:sheet xmlns:r="http://schemas.openxmlformats.org/officeDocument/2006/relationships" name="Tesouros_Rota_50" sheetId="21" r:id="Rc0d0856765d94602"/>
    <x:sheet xmlns:r="http://schemas.openxmlformats.org/officeDocument/2006/relationships" name="Versus_Rotacao" sheetId="22" r:id="R8ed8d501e79a4f5d"/>
    <x:sheet xmlns:r="http://schemas.openxmlformats.org/officeDocument/2006/relationships" name="DLC_Rotas" sheetId="23" r:id="R55c0483daa5d42ef"/>
    <x:sheet xmlns:r="http://schemas.openxmlformats.org/officeDocument/2006/relationships" name="Auditoria_Portao_B" sheetId="24" r:id="Rbbf98a69415e4719"/>
    <x:sheet xmlns:r="http://schemas.openxmlformats.org/officeDocument/2006/relationships" name="Portao_C" sheetId="25" r:id="Ra05436ec64d5467b"/>
    <x:sheet xmlns:r="http://schemas.openxmlformats.org/officeDocument/2006/relationships" name="Cobertura_Publica" sheetId="26" r:id="R19cb5761387f4eb7"/>
    <x:sheet xmlns:r="http://schemas.openxmlformats.org/officeDocument/2006/relationships" name="Checklist_Publicacao" sheetId="27" r:id="Rd031904a7c7b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 &quot;EP&quot;"/>
    <x:numFmt numFmtId="201" formatCode="#,##0"/>
    <x:numFmt numFmtId="202" formatCode="0.0%"/>
  </x:numFmts>
  <x:fonts count="1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name val="Carlito"/>
    </x:font>
    <x:font>
      <x:b/>
      <x:sz val="10"/>
      <x:color rgb="FF1F2937"/>
      <x:name val="Carlito"/>
    </x:font>
    <x:font>
      <x:b/>
      <x:sz val="12"/>
      <x:color rgb="FFFFFFFF"/>
      <x:name val="Carlito"/>
    </x:font>
    <x:font>
      <x:b/>
      <x:sz val="13"/>
      <x:color rgb="FF245624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1"/>
      <x:color rgb="FF1F2937"/>
      <x:name val="Carlito"/>
    </x:font>
    <x:font>
      <x:sz val="9"/>
      <x:name val="Carlito"/>
    </x:font>
    <x:font>
      <x:b/>
      <x:sz val="13"/>
      <x:color rgb="FF166534"/>
      <x:name val="Carlito"/>
    </x:font>
    <x:font>
      <x:b/>
      <x:sz val="11"/>
      <x:color rgb="FF166534"/>
      <x:name val="Carlito"/>
    </x:font>
    <x:font>
      <x:i/>
      <x:sz val="10"/>
      <x:color rgb="FF5B6573"/>
      <x:name val="Carlito"/>
    </x:font>
    <x:font>
      <x:b/>
      <x:sz val="11"/>
      <x:color rgb="FF17324D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0"/>
      </x:patternFill>
    </x:fill>
    <x:fill>
      <x:patternFill patternType="solid">
        <x:fgColor rgb="FF28536B"/>
      </x:patternFill>
    </x:fill>
    <x:fill>
      <x:patternFill patternType="solid">
        <x:fgColor rgb="FFF5F8FA"/>
      </x:patternFill>
    </x:fill>
    <x:fill>
      <x:patternFill patternType="solid">
        <x:fgColor rgb="FFF2B134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DFF3E4"/>
      </x:patternFill>
    </x:fill>
    <x:fill>
      <x:patternFill patternType="solid">
        <x:fgColor rgb="FF17324D"/>
      </x:patternFill>
    </x:fill>
    <x:fill>
      <x:patternFill patternType="solid">
        <x:fgColor rgb="FFEAF2F5"/>
      </x:patternFill>
    </x:fill>
    <x:fill>
      <x:patternFill patternType="solid">
        <x:fgColor rgb="FF176B6B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</x:fills>
  <x:borders count="6">
    <x:border/>
    <x:border/>
    <x:border/>
    <x:border/>
    <x:border>
      <x:bottom style="thin">
        <x:color rgb="FF7F8C8D"/>
      </x:bottom>
    </x:border>
    <x:border>
      <x:bottom style="hair">
        <x:color rgb="FFD9E1F2"/>
      </x:bottom>
    </x:border>
  </x:borders>
  <x:cellStyleXfs count="1">
    <x:xf numFmtId="0" fontId="0" fillId="0" borderId="0"/>
  </x:cellStyleXfs>
  <x:cellXfs count="1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/>
    <x:xf numFmtId="0" fontId="9" fillId="4" borderId="2" xfId="0" applyNumberFormat="1" applyFont="1" applyFill="1" applyBorder="1"/>
    <x:xf numFmtId="0" fontId="9" fillId="4" borderId="2" xfId="0" applyNumberFormat="1" applyFont="1" applyFill="1" applyBorder="1" applyAlignment="1">
      <x:alignment wrapText="1"/>
    </x:xf>
    <x:xf numFmtId="0" fontId="9" fillId="4" borderId="2" xfId="0" applyNumberFormat="1" applyFont="1" applyFill="1" applyBorder="1" applyAlignment="1">
      <x:alignment horizont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/>
    <x:xf numFmtId="0" fontId="9" fillId="4" borderId="3" xfId="0" applyNumberFormat="1" applyFont="1" applyFill="1" applyBorder="1"/>
    <x:xf numFmtId="0" fontId="9" fillId="4" borderId="3" xfId="0" applyNumberFormat="1" applyFont="1" applyFill="1" applyBorder="1" applyAlignment="1">
      <x:alignment wrapText="1"/>
    </x:xf>
    <x:xf numFmtId="0" fontId="9" fillId="4" borderId="3" xfId="0" applyNumberFormat="1" applyFont="1" applyFill="1" applyBorder="1" applyAlignment="1">
      <x:alignment horizontal="center" wrapText="1"/>
    </x:xf>
    <x:xf numFmtId="0" fontId="9" fillId="4" borderId="3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10" fillId="5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11" fillId="8" borderId="1" xfId="0" applyNumberFormat="1" applyFont="1" applyFill="1" applyBorder="1"/>
    <x:xf numFmtId="0" fontId="11" fillId="8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vertical="top" wrapText="1"/>
    </x:xf>
    <x:xf numFmtId="200" fontId="12" fillId="0" borderId="0" xfId="0" applyNumberFormat="1" applyFont="1" applyFill="1" applyBorder="1" applyAlignment="1">
      <x:alignment wrapText="1"/>
    </x:xf>
    <x:xf numFmtId="200" fontId="12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horizont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 applyAlignment="1">
      <x:alignment vertical="center" wrapText="1"/>
    </x:xf>
    <x:xf numFmtId="0" fontId="14" fillId="9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xfId="0" applyNumberFormat="1" applyFont="1" applyFill="1" applyBorder="0"/>
    <x:xf numFmtId="0" fontId="3" fillId="12" xfId="0" applyNumberFormat="1" applyFont="1" applyFill="1" applyBorder="0" applyAlignment="1">
      <x:alignment wrapText="1"/>
    </x:xf>
    <x:xf numFmtId="0" fontId="3" fillId="12" xfId="0" applyNumberFormat="1" applyFont="1" applyFill="1" applyBorder="0" applyAlignment="1">
      <x:alignment horizontal="center" wrapText="1"/>
    </x:xf>
    <x:xf numFmtId="0" fontId="3" fillId="12" xfId="0" applyNumberFormat="1" applyFont="1" applyFill="1" applyBorder="0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9" xfId="0" applyNumberFormat="1" applyFont="1" applyFill="1" applyBorder="0" applyAlignment="1">
      <x:alignment vertical="top" wrapText="1"/>
    </x:xf>
    <x:xf numFmtId="201" fontId="0" fillId="9" xfId="0" applyNumberFormat="1" applyFont="1" applyFill="1" applyBorder="0" applyAlignment="1">
      <x:alignment vertical="top" wrapText="1"/>
    </x:xf>
    <x:xf numFmtId="0" fontId="14" fillId="9" xfId="0" applyNumberFormat="1" applyFont="1" applyFill="1" applyBorder="0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6" fillId="14" borderId="0" xfId="0" applyNumberFormat="1" applyFont="1" applyFill="1" applyBorder="1"/>
    <x:xf numFmtId="0" fontId="16" fillId="14" borderId="4" xfId="0" applyNumberFormat="1" applyFont="1" applyFill="1" applyBorder="1"/>
    <x:xf numFmtId="0" fontId="16" fillId="14" borderId="4" xfId="0" applyNumberFormat="1" applyFont="1" applyFill="1" applyBorder="1" applyAlignment="1">
      <x:alignment wrapText="1"/>
    </x:xf>
    <x:xf numFmtId="0" fontId="16" fillId="14" borderId="4" xfId="0" applyNumberFormat="1" applyFont="1" applyFill="1" applyBorder="1" applyAlignment="1">
      <x:alignment horizontal="center" wrapText="1"/>
    </x:xf>
    <x:xf numFmtId="0" fontId="16" fillId="14" borderId="4" xfId="0" applyNumberFormat="1" applyFont="1" applyFill="1" applyBorder="1" applyAlignment="1">
      <x:alignment horizontal="center" vertical="center" wrapText="1"/>
    </x:xf>
    <x:xf numFmtId="0" fontId="16" fillId="14" borderId="0" xfId="0" applyNumberFormat="1" applyFont="1" applyFill="1" applyBorder="1" applyAlignment="1">
      <x:alignment wrapText="1"/>
    </x:xf>
    <x:xf numFmtId="0" fontId="16" fillId="14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  <x:color rgb="FF166534"/>
      </x:font>
      <x:fill>
        <x:patternFill>
          <x:bgColor rgb="FFDFF3E4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F3FA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ecfc6cd054647" /><Relationship Type="http://schemas.openxmlformats.org/officeDocument/2006/relationships/theme" Target="/xl/theme/theme1.xml" Id="Rfb7e9da354944d10" /><Relationship Type="http://schemas.openxmlformats.org/officeDocument/2006/relationships/sharedStrings" Target="/xl/sharedStrings.xml" Id="R7d2356244b034ff9" /><Relationship Type="http://schemas.openxmlformats.org/officeDocument/2006/relationships/worksheet" Target="/xl/worksheets/sheet1.xml" Id="Rd92407239bde4f7c" /><Relationship Type="http://schemas.openxmlformats.org/officeDocument/2006/relationships/worksheet" Target="/xl/worksheets/sheet2.xml" Id="R7a5d74f1268a4a22" /><Relationship Type="http://schemas.openxmlformats.org/officeDocument/2006/relationships/worksheet" Target="/xl/worksheets/sheet3.xml" Id="R88e4963a9a6945be" /><Relationship Type="http://schemas.openxmlformats.org/officeDocument/2006/relationships/worksheet" Target="/xl/worksheets/sheet4.xml" Id="Ra59bc99d0d3b4534" /><Relationship Type="http://schemas.openxmlformats.org/officeDocument/2006/relationships/worksheet" Target="/xl/worksheets/sheet5.xml" Id="R20b0f44fa37c4343" /><Relationship Type="http://schemas.openxmlformats.org/officeDocument/2006/relationships/worksheet" Target="/xl/worksheets/sheet6.xml" Id="R2caf3886b4b2482b" /><Relationship Type="http://schemas.openxmlformats.org/officeDocument/2006/relationships/worksheet" Target="/xl/worksheets/sheet7.xml" Id="R89c6bf4f70324b1f" /><Relationship Type="http://schemas.openxmlformats.org/officeDocument/2006/relationships/worksheet" Target="/xl/worksheets/sheet8.xml" Id="Rd786629e1d2e4c9e" /><Relationship Type="http://schemas.openxmlformats.org/officeDocument/2006/relationships/worksheet" Target="/xl/worksheets/sheet9.xml" Id="R2f8813b1bbb54eb7" /><Relationship Type="http://schemas.openxmlformats.org/officeDocument/2006/relationships/worksheet" Target="/xl/worksheets/sheet10.xml" Id="Rd2943e6947a444a8" /><Relationship Type="http://schemas.openxmlformats.org/officeDocument/2006/relationships/worksheet" Target="/xl/worksheets/sheet11.xml" Id="R5b19b2c07edf47f0" /><Relationship Type="http://schemas.openxmlformats.org/officeDocument/2006/relationships/worksheet" Target="/xl/worksheets/sheet12.xml" Id="R0549f31a6d264c4f" /><Relationship Type="http://schemas.openxmlformats.org/officeDocument/2006/relationships/worksheet" Target="/xl/worksheets/sheet13.xml" Id="R074b1bea47ce4896" /><Relationship Type="http://schemas.openxmlformats.org/officeDocument/2006/relationships/worksheet" Target="/xl/worksheets/sheet14.xml" Id="R138e2cb839ed4ced" /><Relationship Type="http://schemas.openxmlformats.org/officeDocument/2006/relationships/worksheet" Target="/xl/worksheets/sheet15.xml" Id="Rfdb5f9fddfc74002" /><Relationship Type="http://schemas.openxmlformats.org/officeDocument/2006/relationships/worksheet" Target="/xl/worksheets/sheet16.xml" Id="Ra604531e09294047" /><Relationship Type="http://schemas.openxmlformats.org/officeDocument/2006/relationships/worksheet" Target="/xl/worksheets/sheet17.xml" Id="R32d5cb078e3d4479" /><Relationship Type="http://schemas.openxmlformats.org/officeDocument/2006/relationships/worksheet" Target="/xl/worksheets/sheet18.xml" Id="R23b7009cc50d490a" /><Relationship Type="http://schemas.openxmlformats.org/officeDocument/2006/relationships/worksheet" Target="/xl/worksheets/sheet19.xml" Id="Re44bda93bce844ec" /><Relationship Type="http://schemas.openxmlformats.org/officeDocument/2006/relationships/worksheet" Target="/xl/worksheets/sheet20.xml" Id="R2fc865edbd2e4947" /><Relationship Type="http://schemas.openxmlformats.org/officeDocument/2006/relationships/worksheet" Target="/xl/worksheets/sheet21.xml" Id="Rc0d0856765d94602" /><Relationship Type="http://schemas.openxmlformats.org/officeDocument/2006/relationships/worksheet" Target="/xl/worksheets/sheet22.xml" Id="R8ed8d501e79a4f5d" /><Relationship Type="http://schemas.openxmlformats.org/officeDocument/2006/relationships/worksheet" Target="/xl/worksheets/sheet23.xml" Id="R55c0483daa5d42ef" /><Relationship Type="http://schemas.openxmlformats.org/officeDocument/2006/relationships/worksheet" Target="/xl/worksheets/sheet24.xml" Id="Rbbf98a69415e4719" /><Relationship Type="http://schemas.openxmlformats.org/officeDocument/2006/relationships/worksheet" Target="/xl/worksheets/sheet25.xml" Id="Ra05436ec64d5467b" /><Relationship Type="http://schemas.openxmlformats.org/officeDocument/2006/relationships/worksheet" Target="/xl/worksheets/sheet26.xml" Id="R19cb5761387f4eb7" /><Relationship Type="http://schemas.openxmlformats.org/officeDocument/2006/relationships/worksheet" Target="/xl/worksheets/sheet27.xml" Id="Rd031904a7c7b47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c293e8d16046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Troféus por pacote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Troféus</c:v>
          </c:tx>
          <c:cat>
            <c:strRef>
              <c:f>'Resumo'!$D$5:$D$8</c:f>
              <c:strCache>
                <c:ptCount val="0"/>
              </c:strCache>
            </c:strRef>
          </c:cat>
          <c:val>
            <c:numRef>
              <c:f>'Resumo'!$E$5:$E$8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c293e8d16046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ossieTable" displayName="DossieTable" ref="A3:D32" headerRowCount="1">
  <x:tableColumns count="4">
    <x:tableColumn id="1" name="Tema"/>
    <x:tableColumn id="2" name="Conclusão operacional"/>
    <x:tableColumn id="3" name="Fonte"/>
    <x:tableColumn id="4" name="Confiança"/>
  </x:tableColumns>
  <x:tableStyleInfo name="TableStyleMedium2" showRowStripes="1"/>
</x:table>
</file>

<file path=xl/tables/table2.xml><?xml version="1.0" encoding="utf-8"?>
<x:table xmlns:x="http://schemas.openxmlformats.org/spreadsheetml/2006/main" id="2" name="InventarioTable" displayName="InventarioTable" ref="A3:I7" headerRowCount="1">
  <x:tableColumns count="9">
    <x:tableColumn id="1" name="Pacote"/>
    <x:tableColumn id="2" name="Total"/>
    <x:tableColumn id="3" name="Platina"/>
    <x:tableColumn id="4" name="Ouro"/>
    <x:tableColumn id="5" name="Prata"/>
    <x:tableColumn id="6" name="Bronze"/>
    <x:tableColumn id="7" name="Escopo"/>
    <x:tableColumn id="8" name="Conteúdo"/>
    <x:tableColumn id="9" name="Online/coop"/>
  </x:tableColumns>
  <x:tableStyleInfo name="TableStyleMedium2" showRowStripes="1"/>
</x:table>
</file>

<file path=xl/tables/table3.xml><?xml version="1.0" encoding="utf-8"?>
<x:table xmlns:x="http://schemas.openxmlformats.org/spreadsheetml/2006/main" id="3" name="Matriz71Table" displayName="Matriz71Table" ref="A3:X74" headerRowCount="1">
  <x:tableColumns count="24">
    <x:tableColumn id="1" name="ID"/>
    <x:tableColumn id="2" name="Troféu"/>
    <x:tableColumn id="3" name="Tipo"/>
    <x:tableColumn id="4" name="Pacote"/>
    <x:tableColumn id="5" name="Descrição oficial"/>
    <x:tableColumn id="6" name="Categoria"/>
    <x:tableColumn id="7" name="Perdível"/>
    <x:tableColumn id="8" name="Online"/>
    <x:tableColumn id="9" name="Coop"/>
    <x:tableColumn id="10" name="Cumulativo"/>
    <x:tableColumn id="11" name="Campanha"/>
    <x:tableColumn id="12" name="Etapa"/>
    <x:tableColumn id="13" name="Momento"/>
    <x:tableColumn id="14" name="Pré-requisitos"/>
    <x:tableColumn id="15" name="Método executável"/>
    <x:tableColumn id="16" name="Risco"/>
    <x:tableColumn id="17" name="Prevenção"/>
    <x:tableColumn id="18" name="Recuperação"/>
    <x:tableColumn id="19" name="Limpeza"/>
    <x:tableColumn id="20" name="Save"/>
    <x:tableColumn id="21" name="Dependências"/>
    <x:tableColumn id="22" name="Fonte"/>
    <x:tableColumn id="23" name="Confiança"/>
    <x:tableColumn id="24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DependenciasTable" displayName="DependenciasTable" ref="A3:D27" headerRowCount="1">
  <x:tableColumns count="4">
    <x:tableColumn id="1" name="Sistema/origem"/>
    <x:tableColumn id="2" name="Dependência"/>
    <x:tableColumn id="3" name="Impacto operacional"/>
    <x:tableColumn id="4" name="Fonte"/>
  </x:tableColumns>
  <x:tableStyleInfo name="TableStyleMedium2" showRowStripes="1"/>
</x:table>
</file>

<file path=xl/tables/table5.xml><?xml version="1.0" encoding="utf-8"?>
<x:table xmlns:x="http://schemas.openxmlformats.org/spreadsheetml/2006/main" id="5" name="CampanhasTable" displayName="CampanhasTable" ref="A3:F11" headerRowCount="1">
  <x:tableColumns count="6">
    <x:tableColumn id="1" name="Escopo"/>
    <x:tableColumn id="2" name="Sequência"/>
    <x:tableColumn id="3" name="Quantidade"/>
    <x:tableColumn id="4" name="Lógica"/>
    <x:tableColumn id="5" name="Risco"/>
    <x:tableColumn id="6" name="Perfil"/>
  </x:tableColumns>
  <x:tableStyleInfo name="TableStyleMedium2" showRowStripes="1"/>
</x:table>
</file>

<file path=xl/tables/table6.xml><?xml version="1.0" encoding="utf-8"?>
<x:table xmlns:x="http://schemas.openxmlformats.org/spreadsheetml/2006/main" id="6" name="DivergenciasTable" displayName="DivergenciasTable" ref="A3:F15" headerRowCount="1">
  <x:tableColumns count="6">
    <x:tableColumn id="1" name="Tema"/>
    <x:tableColumn id="2" name="Divergência"/>
    <x:tableColumn id="3" name="Status"/>
    <x:tableColumn id="4" name="Conclusão aplicada"/>
    <x:tableColumn id="5" name="Fontes"/>
    <x:tableColumn id="6" name="Confiança"/>
  </x:tableColumns>
  <x:tableStyleInfo name="TableStyleMedium2" showRowStripes="1"/>
</x:table>
</file>

<file path=xl/tables/table7.xml><?xml version="1.0" encoding="utf-8"?>
<x:table xmlns:x="http://schemas.openxmlformats.org/spreadsheetml/2006/main" id="7" name="IncertezasTable" displayName="IncertezasTable" ref="A3:G7" headerRowCount="1">
  <x:tableColumns count="7">
    <x:tableColumn id="1" name="ID"/>
    <x:tableColumn id="2" name="Tema"/>
    <x:tableColumn id="3" name="Versão afetada"/>
    <x:tableColumn id="4" name="Confiança"/>
    <x:tableColumn id="5" name="Impacto potencial"/>
    <x:tableColumn id="6" name="Mitigação"/>
    <x:tableColumn id="7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RotaPreliminarTable" displayName="RotaPreliminarTable" ref="A3:F13" headerRowCount="1">
  <x:tableColumns count="6">
    <x:tableColumn id="1" name="Etapa"/>
    <x:tableColumn id="2" name="Objetivo"/>
    <x:tableColumn id="3" name="Faça nesta etapa"/>
    <x:tableColumn id="4" name="Troféus/grupos cobertos"/>
    <x:tableColumn id="5" name="Riscos/avisos"/>
    <x:tableColumn id="6" name="Save/recuperação"/>
  </x:tableColumns>
  <x:tableStyleInfo name="TableStyleMedium2" showRowStripes="1"/>
</x:table>
</file>

<file path=xl/tables/table9.xml><?xml version="1.0" encoding="utf-8"?>
<x:table xmlns:x="http://schemas.openxmlformats.org/spreadsheetml/2006/main" id="9" name="AuditoriaTable" displayName="AuditoriaTable" ref="A3:D17" headerRowCount="1">
  <x:tableColumns count="4">
    <x:tableColumn id="1" name="Teste"/>
    <x:tableColumn id="2" name="Esperado"/>
    <x:tableColumn id="3" name="Resultado"/>
    <x:tableColumn id="4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FontesTable" displayName="FontesTable" ref="A3:F16" headerRowCount="1">
  <x:tableColumns count="6">
    <x:tableColumn id="1" name="ID"/>
    <x:tableColumn id="2" name="Fonte"/>
    <x:tableColumn id="3" name="Tipo"/>
    <x:tableColumn id="4" name="URL"/>
    <x:tableColumn id="5" name="Uso"/>
    <x:tableColumn id="6" name="Confiança"/>
  </x:tableColumns>
  <x:tableStyleInfo name="TableStyleMedium2" showRowStripes="1"/>
</x:table>
</file>

<file path=xl/tables/table11.xml><?xml version="1.0" encoding="utf-8"?>
<x:table xmlns:x="http://schemas.openxmlformats.org/spreadsheetml/2006/main" id="11" name="BSAA30Table" displayName="BSAA30Table" ref="A3:E33" headerRowCount="1">
  <x:tableColumns count="5">
    <x:tableColumn id="1" name="#"/>
    <x:tableColumn id="2" name="Capítulo"/>
    <x:tableColumn id="3" name="Área"/>
    <x:tableColumn id="4" name="Referência executável"/>
    <x:tableColumn id="5" name="Recuperação"/>
  </x:tableColumns>
  <x:tableStyleInfo name="TableStyleMedium2" showRowStripes="1"/>
</x:table>
</file>

<file path=xl/tables/table12.xml><?xml version="1.0" encoding="utf-8"?>
<x:table xmlns:x="http://schemas.openxmlformats.org/spreadsheetml/2006/main" id="12" name="Tesouros50Table" displayName="Tesouros50Table" ref="A3:D53" headerRowCount="1">
  <x:tableColumns count="4">
    <x:tableColumn id="1" name="#"/>
    <x:tableColumn id="2" name="Tesouro"/>
    <x:tableColumn id="3" name="Observação operacional"/>
    <x:tableColumn id="4" name="Recuperação"/>
  </x:tableColumns>
  <x:tableStyleInfo name="TableStyleMedium2" showRowStripes="1"/>
</x:table>
</file>

<file path=xl/tables/table13.xml><?xml version="1.0" encoding="utf-8"?>
<x:table xmlns:x="http://schemas.openxmlformats.org/spreadsheetml/2006/main" id="13" name="Stockpile27Table" displayName="Stockpile27Table" ref="A3:E30" headerRowCount="1">
  <x:tableColumns count="5">
    <x:tableColumn id="1" name="#"/>
    <x:tableColumn id="2" name="Categoria"/>
    <x:tableColumn id="3" name="Item"/>
    <x:tableColumn id="4" name="Origem/desbloqueio"/>
    <x:tableColumn id="5" name="Controle"/>
  </x:tableColumns>
  <x:tableStyleInfo name="TableStyleMedium2" showRowStripes="1"/>
</x:table>
</file>

<file path=xl/tables/table14.xml><?xml version="1.0" encoding="utf-8"?>
<x:table xmlns:x="http://schemas.openxmlformats.org/spreadsheetml/2006/main" id="14" name="Upgrades18Table" displayName="Upgrades18Table" ref="A3:E21" headerRowCount="1">
  <x:tableColumns count="5">
    <x:tableColumn id="1" name="#"/>
    <x:tableColumn id="2" name="Categoria"/>
    <x:tableColumn id="3" name="Arma"/>
    <x:tableColumn id="4" name="Dependência/cadeia"/>
    <x:tableColumn id="5" name="Status editorial"/>
  </x:tableColumns>
  <x:tableStyleInfo name="TableStyleMedium2" showRowStripes="1"/>
</x:table>
</file>

<file path=xl/tables/table15.xml><?xml version="1.0" encoding="utf-8"?>
<x:table xmlns:x="http://schemas.openxmlformats.org/spreadsheetml/2006/main" id="15" name="DLCDetalhesTable" displayName="DLCDetalhesTable" ref="A3:E13" headerRowCount="1">
  <x:tableColumns count="5">
    <x:tableColumn id="1" name="Conteúdo"/>
    <x:tableColumn id="2" name="Tema"/>
    <x:tableColumn id="3" name="Conclusão"/>
    <x:tableColumn id="4" name="Método conservador/impacto"/>
    <x:tableColumn id="5" name="Confiança"/>
  </x:tableColumns>
  <x:tableStyleInfo name="TableStyleMedium2" showRowStripes="1"/>
</x:table>
</file>

<file path=xl/tables/table16.xml><?xml version="1.0" encoding="utf-8"?>
<x:table xmlns:x="http://schemas.openxmlformats.org/spreadsheetml/2006/main" id="16" name="TabelaCoberturaPublica" displayName="TabelaCoberturaPublica" ref="A2:H73" headerRowCount="1">
  <x:tableColumns count="8">
    <x:tableColumn id="1" name="ID"/>
    <x:tableColumn id="2" name="Troféu"/>
    <x:tableColumn id="3" name="Tipo"/>
    <x:tableColumn id="4" name="Pacote"/>
    <x:tableColumn id="5" name="Etapa"/>
    <x:tableColumn id="6" name="Momento"/>
    <x:tableColumn id="7" name="Seção pública"/>
    <x:tableColumn id="8" name="Coberto"/>
  </x:tableColumns>
  <x:tableStyleInfo name="TableStyleMedium2" showRowStripes="1"/>
</x:table>
</file>

<file path=xl/tables/table17.xml><?xml version="1.0" encoding="utf-8"?>
<x:table xmlns:x="http://schemas.openxmlformats.org/spreadsheetml/2006/main" id="17" name="TabelaChecklistPublicacao" displayName="TabelaChecklistPublicacao" ref="A2:F18" headerRowCount="1">
  <x:tableColumns count="6">
    <x:tableColumn id="1" name="ID"/>
    <x:tableColumn id="2" name="Área"/>
    <x:tableColumn id="3" name="Controle"/>
    <x:tableColumn id="4" name="Obrigatório"/>
    <x:tableColumn id="5" name="Status"/>
    <x:tableColumn id="6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f456cd957f47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f4a9bd5a1041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c16a91cd9242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ec9eab18e241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ffef8508ba4f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85772736b846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3273952ef340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e14fbc4fa24c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ff1914cf294f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cb4b17469ab4d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c5df7916ee7475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06f8fc92bfa42d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1468d568091489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02018178b113477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5163b30842b6445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90135e33da854cce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16.xml" Id="R36f7c0579ee84db5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7.xml" Id="Rd95396649dc3467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2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5" t="str">
        <x:v>Resident Evil 5 — Portão B: Rota definitiva</x:v>
      </x:c>
    </x:row>
    <x:row r="2" ht="22" customHeight="1">
      <x:c r="A2" s="11" t="str">
        <x:v>PS4 nativo • PS5 por retrocompatibilidade • Escopo: platina + 100% • Verificação: 26/07/2026</x:v>
      </x:c>
    </x:row>
    <x:row r="4">
      <x:c r="A4" s="16" t="str">
        <x:v>Indicador</x:v>
      </x:c>
      <x:c r="B4" s="16" t="str">
        <x:v>Valor</x:v>
      </x:c>
      <x:c r="D4" s="16" t="str">
        <x:v>Pacote</x:v>
      </x:c>
      <x:c r="E4" s="16" t="str">
        <x:v>Troféus</x:v>
      </x:c>
    </x:row>
    <x:row r="5">
      <x:c r="A5" s="22" t="str">
        <x:v>Total oficial</x:v>
      </x:c>
      <x:c r="B5" s="22" t="n">
        <x:f>COUNTA(Matriz_71!B4:B74)</x:f>
        <x:v>71</x:v>
      </x:c>
      <x:c r="D5" s="30" t="str">
        <x:v>Jogo-base</x:v>
      </x:c>
      <x:c r="E5" s="30" t="n">
        <x:v>51</x:v>
      </x:c>
    </x:row>
    <x:row r="6">
      <x:c r="A6" s="22" t="str">
        <x:v>Jogo-base</x:v>
      </x:c>
      <x:c r="B6" s="22" t="n">
        <x:f>COUNTIF(Matriz_71!D4:D74,"Jogo-base")</x:f>
        <x:v>51</x:v>
      </x:c>
      <x:c r="D6" s="30" t="str">
        <x:v>Versus</x:v>
      </x:c>
      <x:c r="E6" s="30" t="n">
        <x:v>10</x:v>
      </x:c>
    </x:row>
    <x:row r="7">
      <x:c r="A7" s="22" t="str">
        <x:v>DLC/Versus</x:v>
      </x:c>
      <x:c r="B7" s="22" t="n">
        <x:f>COUNTA(Matriz_71!B4:B74)-COUNTIF(Matriz_71!D4:D74,"Jogo-base")</x:f>
        <x:v>20</x:v>
      </x:c>
      <x:c r="D7" s="30" t="str">
        <x:v>Lost in Nightmares</x:v>
      </x:c>
      <x:c r="E7" s="30" t="n">
        <x:v>5</x:v>
      </x:c>
    </x:row>
    <x:row r="8">
      <x:c r="A8" s="26" t="str">
        <x:v>Linhas sem etapa</x:v>
      </x:c>
      <x:c r="B8" s="26" t="n">
        <x:f>COUNTBLANK(Matriz_71!L4:L74)</x:f>
        <x:v>0</x:v>
      </x:c>
      <x:c r="D8" s="30" t="str">
        <x:v>Desperate Escape</x:v>
      </x:c>
      <x:c r="E8" s="30" t="n">
        <x:v>5</x:v>
      </x:c>
    </x:row>
    <x:row r="9">
      <x:c r="D9" s="35" t="str">
        <x:v>Total</x:v>
      </x:c>
      <x:c r="E9" s="35" t="n">
        <x:v>71</x:v>
      </x:c>
    </x:row>
    <x:row r="11" ht="24" customHeight="1">
      <x:c r="A11" s="38" t="str">
        <x:v>Veredito do Portão B</x:v>
      </x:c>
    </x:row>
    <x:row r="12" ht="42" customHeight="1">
      <x:c r="A12" s="108" t="str">
        <x:v>APROVADO PARA PORTÃO C — rota 71/71 fechada, campanhas justificadas e auditoria adversarial concluída.</x:v>
      </x:c>
      <x:c r="B12" s="109"/>
      <x:c r="C12" s="109"/>
      <x:c r="D12" s="109"/>
      <x:c r="E12" s="109"/>
    </x:row>
    <x:row r="15">
      <x:c r="A15" s="38" t="str">
        <x:v>Conclusões de plataforma</x:v>
      </x:c>
    </x:row>
    <x:row r="16">
      <x:c r="A16" s="52" t="str">
        <x:v>Tema</x:v>
      </x:c>
      <x:c r="B16" s="52" t="str">
        <x:v>Conclusão</x:v>
      </x:c>
      <x:c r="C16" s="52" t="str">
        <x:v>Impacto na rota</x:v>
      </x:c>
      <x:c r="D16" t="str"/>
      <x:c r="E16" t="str"/>
      <x:c r="F16" t="str"/>
      <x:c r="G16" t="str"/>
      <x:c r="H16" t="str"/>
    </x:row>
    <x:row r="17">
      <x:c r="A17" s="56" t="str">
        <x:v>PS5</x:v>
      </x:c>
      <x:c r="B17" s="56" t="str">
        <x:v>Não há versão nativa localizada; executa a versão PS4.</x:v>
      </x:c>
      <x:c r="C17" s="56" t="str">
        <x:v>Mesma lista e mesmo progresso PS4; não existe autopop para segunda stack.</x:v>
      </x:c>
      <x:c r="D17" t="str"/>
      <x:c r="E17" t="str"/>
      <x:c r="F17" t="str"/>
      <x:c r="G17" t="str"/>
      <x:c r="H17" t="str"/>
    </x:row>
    <x:row r="18">
      <x:c r="A18" s="48" t="str">
        <x:v>PS4→PS5 save</x:v>
      </x:c>
      <x:c r="B18" s="48" t="str">
        <x:v>Transferência geral de save PS4 é suportada.</x:v>
      </x:c>
      <x:c r="C18" s="48" t="str">
        <x:v>Continuar o mesmo save; não cria troféus novos automaticamente.</x:v>
      </x:c>
      <x:c r="D18" t="str"/>
      <x:c r="E18" t="str"/>
      <x:c r="F18" t="str"/>
      <x:c r="G18" t="str"/>
      <x:c r="H18" t="str"/>
    </x:row>
    <x:row r="19">
      <x:c r="A19" s="56" t="str">
        <x:v>PS3→PS4</x:v>
      </x:c>
      <x:c r="B19" s="56" t="str">
        <x:v>Save e troféus não transferem.</x:v>
      </x:c>
      <x:c r="C19" s="56" t="str">
        <x:v>A lista PS4 começa do zero.</x:v>
      </x:c>
      <x:c r="D19" t="str"/>
      <x:c r="E19" t="str"/>
      <x:c r="F19" t="str"/>
      <x:c r="G19" t="str"/>
      <x:c r="H19" t="str"/>
    </x:row>
    <x:row r="20">
      <x:c r="A20" s="48" t="str">
        <x:v>Edição PS4</x:v>
      </x:c>
      <x:c r="B20" s="48" t="str">
        <x:v>Inclui Versus, Lost, Desperate Escape e extras.</x:v>
      </x:c>
      <x:c r="C20" s="48" t="str">
        <x:v>Nenhuma compra adicional necessária para 100%; PS Plus é necessário ao online.</x:v>
      </x:c>
      <x:c r="D20" t="str"/>
      <x:c r="E20" t="str"/>
      <x:c r="F20" t="str"/>
      <x:c r="G20" t="str"/>
      <x:c r="H20" t="str"/>
    </x:row>
    <x:row r="21">
      <x:c r="A21" s="56" t="str">
        <x:v>Platina</x:v>
      </x:c>
      <x:c r="B21" s="56" t="str">
        <x:v>51 troféus do jogo-base.</x:v>
      </x:c>
      <x:c r="C21" s="56" t="str">
        <x:v>Os 20 adicionais ficam após a platina.</x:v>
      </x:c>
      <x:c r="D21" t="str"/>
      <x:c r="E21" t="str"/>
      <x:c r="F21" t="str"/>
      <x:c r="G21" t="str"/>
      <x:c r="H21" t="str"/>
    </x:row>
    <x:row r="22">
      <x:c r="A22" s="48" t="str">
        <x:v>Online</x:v>
      </x:c>
      <x:c r="B22" s="48" t="str">
        <x:v>Versus é estritamente online.</x:v>
      </x:c>
      <x:c r="C22" s="48" t="str">
        <x:v>Revalidar disponibilidade antes da publicação.</x:v>
      </x:c>
      <x:c r="D22" t="str"/>
      <x:c r="E22" t="str"/>
      <x:c r="F22" t="str"/>
      <x:c r="G22" t="str"/>
      <x:c r="H22" t="str"/>
    </x:row>
    <x:row r="24">
      <x:c r="A24" s="38" t="str">
        <x:v>Arquivos internos do pacote</x:v>
      </x:c>
    </x:row>
    <x:row r="25">
      <x:c r="A25" s="59" t="str">
        <x:v>Superfície</x:v>
      </x:c>
      <x:c r="B25" s="59" t="str">
        <x:v>Conteúdo</x:v>
      </x:c>
      <x:c r="C25" s="59" t="str">
        <x:v>Status</x:v>
      </x:c>
    </x:row>
    <x:row r="26">
      <x:c r="A26" s="29" t="str">
        <x:v>Matriz_71</x:v>
      </x:c>
      <x:c r="B26" s="29" t="str">
        <x:v>Uma linha por troféu, 24 campos</x:v>
      </x:c>
      <x:c r="C26" s="29" t="str">
        <x:v>71/71</x:v>
      </x:c>
    </x:row>
    <x:row r="27">
      <x:c r="A27" s="29" t="str">
        <x:v>BSAA_30</x:v>
      </x:c>
      <x:c r="B27" s="29" t="str">
        <x:v>Distribuição e referências por capítulo</x:v>
      </x:c>
      <x:c r="C27" s="29" t="str">
        <x:v>30/30</x:v>
      </x:c>
    </x:row>
    <x:row r="28">
      <x:c r="A28" s="29" t="str">
        <x:v>Tesouros_50</x:v>
      </x:c>
      <x:c r="B28" s="29" t="str">
        <x:v>Tipos distintos exigidos</x:v>
      </x:c>
      <x:c r="C28" s="29" t="str">
        <x:v>50/50</x:v>
      </x:c>
    </x:row>
    <x:row r="29">
      <x:c r="A29" s="29" t="str">
        <x:v>Stockpile_27</x:v>
      </x:c>
      <x:c r="B29" s="29" t="str">
        <x:v>Itens simultâneos</x:v>
      </x:c>
      <x:c r="C29" s="29" t="str">
        <x:v>27/27</x:v>
      </x:c>
    </x:row>
    <x:row r="30">
      <x:c r="A30" s="29" t="str">
        <x:v>Upgrades_18</x:v>
      </x:c>
      <x:c r="B30" s="29" t="str">
        <x:v>Armas aprimoráveis e cadeias</x:v>
      </x:c>
      <x:c r="C30" s="29" t="str">
        <x:v>18/18</x:v>
      </x:c>
    </x:row>
    <x:row r="31">
      <x:c r="A31" s="29" t="str">
        <x:v>Auditoria</x:v>
      </x:c>
      <x:c r="B31" s="29" t="str">
        <x:v>Teste de cobertura Portão A</x:v>
      </x:c>
      <x:c r="C31" s="29" t="str">
        <x:v>Aprovado</x:v>
      </x:c>
    </x:row>
  </x:sheetData>
  <x:mergeCells>
    <x:mergeCell ref="A1:H1"/>
    <x:mergeCell ref="A2:H2"/>
    <x:mergeCell ref="A11:H11"/>
    <x:mergeCell ref="A12:H13"/>
    <x:mergeCell ref="A15:H15"/>
    <x:mergeCell ref="A24:H24"/>
  </x:mergeCells>
  <x:pageMargins left="0.7" right="0.7" top="0.75" bottom="0.75" header="0.3" footer="0.3"/>
  <x:drawing xmlns:r="http://schemas.openxmlformats.org/officeDocument/2006/relationships" r:id="Rfbf456cd957f47d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20" hidden="0" customWidth="1"/>
    <x:col min="4" max="4" width="14" hidden="0" customWidth="1"/>
  </x:cols>
  <x:sheetData>
    <x:row r="1" ht="30" customHeight="1">
      <x:c r="A1" s="5" t="str">
        <x:v>1 — Dossiê de especialização</x:v>
      </x:c>
    </x:row>
    <x:row r="2" ht="20" customHeight="1">
      <x:c r="A2" s="11" t="str">
        <x:v>AtlasAchievement • Portão A • verificação: 26/07/2026</x:v>
      </x:c>
      <x:c r="B2" t="str"/>
      <x:c r="C2" t="str"/>
      <x:c r="D2" t="str"/>
    </x:row>
    <x:row r="3" ht="30" customHeight="1">
      <x:c r="A3" s="66" t="str">
        <x:v>Tema</x:v>
      </x:c>
      <x:c r="B3" s="66" t="str">
        <x:v>Conclusão operacional</x:v>
      </x:c>
      <x:c r="C3" s="66" t="str">
        <x:v>Fonte</x:v>
      </x:c>
      <x:c r="D3" s="66" t="str">
        <x:v>Confiança</x:v>
      </x:c>
    </x:row>
    <x:row r="4">
      <x:c r="A4" s="78" t="str">
        <x:v>Título-alvo</x:v>
      </x:c>
      <x:c r="B4" s="78" t="str">
        <x:v>Resident Evil 5</x:v>
      </x:c>
      <x:c r="C4" s="78" t="str">
        <x:v>S01; S02; S03; S04</x:v>
      </x:c>
      <x:c r="D4" s="78" t="str">
        <x:v>Alta</x:v>
      </x:c>
    </x:row>
    <x:row r="5">
      <x:c r="A5" s="74" t="str">
        <x:v>Versão nativa PS4</x:v>
      </x:c>
      <x:c r="B5" s="74" t="str">
        <x:v>Sim — relançamento/remaster lançado em 28/06/2016.</x:v>
      </x:c>
      <x:c r="C5" s="74" t="str">
        <x:v>S01; S02; S03; S04</x:v>
      </x:c>
      <x:c r="D5" s="74" t="str">
        <x:v>Alta</x:v>
      </x:c>
    </x:row>
    <x:row r="6">
      <x:c r="A6" s="78" t="str">
        <x:v>Versão nativa PS5</x:v>
      </x:c>
      <x:c r="B6" s="78" t="str">
        <x:v>Não localizada. O PS5 executa a aplicação PS4 por retrocompatibilidade.</x:v>
      </x:c>
      <x:c r="C6" s="78" t="str">
        <x:v>S01; S02; S03; S04</x:v>
      </x:c>
      <x:c r="D6" s="78" t="str">
        <x:v>Alta</x:v>
      </x:c>
    </x:row>
    <x:row r="7">
      <x:c r="A7" s="74" t="str">
        <x:v>Lista PS5 separada</x:v>
      </x:c>
      <x:c r="B7" s="74" t="str">
        <x:v>Não. PS4 e execução no PS5 usam a mesma lista PS4.</x:v>
      </x:c>
      <x:c r="C7" s="74" t="str">
        <x:v>S01; S02; S03; S04</x:v>
      </x:c>
      <x:c r="D7" s="74" t="str">
        <x:v>Alta</x:v>
      </x:c>
    </x:row>
    <x:row r="8">
      <x:c r="A8" s="78" t="str">
        <x:v>Upgrade PS4→PS5</x:v>
      </x:c>
      <x:c r="B8" s="78" t="str">
        <x:v>Não aplicável: não existe SKU nativo PS5 para receber upgrade.</x:v>
      </x:c>
      <x:c r="C8" s="78" t="str">
        <x:v>S01; S02; S03; S04</x:v>
      </x:c>
      <x:c r="D8" s="78" t="str">
        <x:v>Alta</x:v>
      </x:c>
    </x:row>
    <x:row r="9">
      <x:c r="A9" s="74" t="str">
        <x:v>Save PS4→PS5</x:v>
      </x:c>
      <x:c r="B9" s="74" t="str">
        <x:v>Sim, por mecanismos gerais de transferência/cloud/USB; continua o mesmo save PS4.</x:v>
      </x:c>
      <x:c r="C9" s="74" t="str">
        <x:v>S01; S02; S03; S04</x:v>
      </x:c>
      <x:c r="D9" s="74" t="str">
        <x:v>Alta</x:v>
      </x:c>
    </x:row>
    <x:row r="10">
      <x:c r="A10" s="78" t="str">
        <x:v>Autopop PS4→PS5</x:v>
      </x:c>
      <x:c r="B10" s="78" t="str">
        <x:v>Inexistente/não aplicável: não há segunda lista. Troféus já ganhos permanecem na mesma lista PS4.</x:v>
      </x:c>
      <x:c r="C10" s="78" t="str">
        <x:v>S01; S02; S03; S04</x:v>
      </x:c>
      <x:c r="D10" s="78" t="str">
        <x:v>Alta</x:v>
      </x:c>
    </x:row>
    <x:row r="11">
      <x:c r="A11" s="74" t="str">
        <x:v>Save/troféus PS3→PS4</x:v>
      </x:c>
      <x:c r="B11" s="74" t="str">
        <x:v>Não transferem, segundo FAQ da Capcom.</x:v>
      </x:c>
      <x:c r="C11" s="74" t="str">
        <x:v>S01; S02; S03; S04</x:v>
      </x:c>
      <x:c r="D11" s="74" t="str">
        <x:v>Alta</x:v>
      </x:c>
    </x:row>
    <x:row r="12">
      <x:c r="A12" s="78" t="str">
        <x:v>Região</x:v>
      </x:c>
      <x:c r="B12" s="78" t="str">
        <x:v>Nenhuma lista regional PS4 separada foi localizada; tratar como uma única stack PS4. Monitorar antes da publicação.</x:v>
      </x:c>
      <x:c r="C12" s="78" t="str">
        <x:v>S01; S02; S03; S04</x:v>
      </x:c>
      <x:c r="D12" s="78" t="str">
        <x:v>Alta</x:v>
      </x:c>
    </x:row>
    <x:row r="13">
      <x:c r="A13" s="74" t="str">
        <x:v>Física x digital</x:v>
      </x:c>
      <x:c r="B13" s="74" t="str">
        <x:v>Mesmo conteúdo/lista. Disco PS4 exige PS5 com leitor; PS5 Digital não lê o disco.</x:v>
      </x:c>
      <x:c r="C13" s="74" t="str">
        <x:v>S01; S02; S03; S04</x:v>
      </x:c>
      <x:c r="D13" s="74" t="str">
        <x:v>Alta</x:v>
      </x:c>
    </x:row>
    <x:row r="14">
      <x:c r="A14" s="78" t="str">
        <x:v>Conteúdo da edição PS4</x:v>
      </x:c>
      <x:c r="B14" s="78" t="str">
        <x:v>Inclui Lost in Nightmares, Desperate Escape, Versus, quatro trajes, figuras adicionais, No Mercy e Mercenaries United.</x:v>
      </x:c>
      <x:c r="C14" s="78" t="str">
        <x:v>S01; S02; S03; S04</x:v>
      </x:c>
      <x:c r="D14" s="78" t="str">
        <x:v>Alta</x:v>
      </x:c>
    </x:row>
    <x:row r="15">
      <x:c r="A15" s="74" t="str">
        <x:v>DLC necessária para platina</x:v>
      </x:c>
      <x:c r="B15" s="74" t="str">
        <x:v>Não. A platina exige os 51 troféus do jogo-base; os 20 adicionais são para 100%.</x:v>
      </x:c>
      <x:c r="C15" s="74" t="str">
        <x:v>S01; S02; S03; S04</x:v>
      </x:c>
      <x:c r="D15" s="74" t="str">
        <x:v>Alta</x:v>
      </x:c>
    </x:row>
    <x:row r="16">
      <x:c r="A16" s="78" t="str">
        <x:v>Online</x:v>
      </x:c>
      <x:c r="B16" s="78" t="str">
        <x:v>Versus exige online e PS Plus. Coop de campanha/DLC é opcional, mas recomendado em Professional.</x:v>
      </x:c>
      <x:c r="C16" s="78" t="str">
        <x:v>S01; S02; S03; S04</x:v>
      </x:c>
      <x:c r="D16" s="78" t="str">
        <x:v>Alta</x:v>
      </x:c>
    </x:row>
    <x:row r="17">
      <x:c r="A17" s="74" t="str">
        <x:v>Data da verificação</x:v>
      </x:c>
      <x:c r="B17" s="74" t="str">
        <x:v>26/07/2026</x:v>
      </x:c>
      <x:c r="C17" s="74" t="str">
        <x:v>S01; S02; S03; S04</x:v>
      </x:c>
      <x:c r="D17" s="74" t="str">
        <x:v>Alta</x:v>
      </x:c>
    </x:row>
    <x:row r="18">
      <x:c r="A18" s="78" t="str">
        <x:v>Escopo</x:v>
      </x:c>
      <x:c r="B18" s="78" t="str">
        <x:v>Platina + 100%: 71 troféus; platina nos 51 base, 20 adicionais para 100%.</x:v>
      </x:c>
      <x:c r="C18" s="78" t="str">
        <x:v>S05; S07</x:v>
      </x:c>
      <x:c r="D18" s="78" t="str">
        <x:v>Alta</x:v>
      </x:c>
    </x:row>
    <x:row r="19">
      <x:c r="A19" s="74" t="str">
        <x:v>Distribuição</x:v>
      </x:c>
      <x:c r="B19" s="74" t="str">
        <x:v>1 Platina, 1 Ouro, 16 Prata e 53 Bronze.</x:v>
      </x:c>
      <x:c r="C19" s="74" t="str">
        <x:v>S05; S07</x:v>
      </x:c>
      <x:c r="D19" s="74" t="str">
        <x:v>Alta</x:v>
      </x:c>
    </x:row>
    <x:row r="20">
      <x:c r="A20" s="78" t="str">
        <x:v>Dificuldade estimada</x:v>
      </x:c>
      <x:c r="B20" s="78" t="str">
        <x:v>Platina: cerca de 4/10; 100%: cerca de 6/10, principalmente por Versus e Desperate Escape Professional.</x:v>
      </x:c>
      <x:c r="C20" s="78" t="str">
        <x:v>S06</x:v>
      </x:c>
      <x:c r="D20" s="78" t="str">
        <x:v>Média</x:v>
      </x:c>
    </x:row>
    <x:row r="21">
      <x:c r="A21" s="74" t="str">
        <x:v>Tempo estimado</x:v>
      </x:c>
      <x:c r="B21" s="74" t="str">
        <x:v>Platina: 30–40 h; 100%: 60–80 h conforme boost online, habilidade e farms.</x:v>
      </x:c>
      <x:c r="C21" s="74" t="str">
        <x:v>S06; S13</x:v>
      </x:c>
      <x:c r="D21" s="74" t="str">
        <x:v>Média</x:v>
      </x:c>
    </x:row>
    <x:row r="22">
      <x:c r="A22" s="78" t="str">
        <x:v>Campanhas mínimas — base</x:v>
      </x:c>
      <x:c r="B22" s="78" t="str">
        <x:v>2 conclusões completas: Veteran + Professional; restantes por Chapter Select.</x:v>
      </x:c>
      <x:c r="C22" s="78" t="str">
        <x:v>S06</x:v>
      </x:c>
      <x:c r="D22" s="78" t="str">
        <x:v>Alta</x:v>
      </x:c>
    </x:row>
    <x:row r="23">
      <x:c r="A23" s="74" t="str">
        <x:v>Campanhas recomendadas — base</x:v>
      </x:c>
      <x:c r="B23" s="74" t="str">
        <x:v>Normal + sweep Amateur por Chapter Select + Veteran + Professional.</x:v>
      </x:c>
      <x:c r="C23" s="74" t="str">
        <x:v>Análise Atlas</x:v>
      </x:c>
      <x:c r="D23" s="74" t="str">
        <x:v>Alta</x:v>
      </x:c>
    </x:row>
    <x:row r="24">
      <x:c r="A24" s="78" t="str">
        <x:v>Perdíveis permanentes — base</x:v>
      </x:c>
      <x:c r="B24" s="78" t="str">
        <x:v>Nenhum; Chapter Select recupera objetivos. Existem condições perdíveis dentro de uma passagem/capítulo.</x:v>
      </x:c>
      <x:c r="C24" s="78" t="str">
        <x:v>S06</x:v>
      </x:c>
      <x:c r="D24" s="78" t="str">
        <x:v>Alta</x:v>
      </x:c>
    </x:row>
    <x:row r="25">
      <x:c r="A25" s="74" t="str">
        <x:v>Online estrito</x:v>
      </x:c>
      <x:c r="B25" s="74" t="str">
        <x:v>10 troféus de Versus.</x:v>
      </x:c>
      <x:c r="C25" s="74" t="str">
        <x:v>S05; S07</x:v>
      </x:c>
      <x:c r="D25" s="74" t="str">
        <x:v>Alta</x:v>
      </x:c>
    </x:row>
    <x:row r="26">
      <x:c r="A26" s="78" t="str">
        <x:v>Coop obrigatório</x:v>
      </x:c>
      <x:c r="B26" s="78" t="str">
        <x:v>Nenhum troféu exige outro jogador humano; Versus exige adversários. The Works/Masters são mais seguros com humano.</x:v>
      </x:c>
      <x:c r="C26" s="78" t="str">
        <x:v>S05; S06</x:v>
      </x:c>
      <x:c r="D26" s="78" t="str">
        <x:v>Alta</x:v>
      </x:c>
    </x:row>
    <x:row r="27">
      <x:c r="A27" s="74" t="str">
        <x:v>Coletáveis</x:v>
      </x:c>
      <x:c r="B27" s="74" t="str">
        <x:v>30 BSAA Emblems; 50 tipos de tesouro; 18 Score Stars em Lost.</x:v>
      </x:c>
      <x:c r="C27" s="74" t="str">
        <x:v>S05; S06; S10</x:v>
      </x:c>
      <x:c r="D27" s="74" t="str">
        <x:v>Alta</x:v>
      </x:c>
    </x:row>
    <x:row r="28">
      <x:c r="A28" s="78" t="str">
        <x:v>Ranks</x:v>
      </x:c>
      <x:c r="B28" s="78" t="str">
        <x:v>S nos 16 capítulos para a figura final; S em Lost e Desperate Escape para troféus próprios.</x:v>
      </x:c>
      <x:c r="C28" s="78" t="str">
        <x:v>S05; S06</x:v>
      </x:c>
      <x:c r="D28" s="78" t="str">
        <x:v>Alta</x:v>
      </x:c>
    </x:row>
    <x:row r="29">
      <x:c r="A29" s="74" t="str">
        <x:v>Pontos de não retorno</x:v>
      </x:c>
      <x:c r="B29" s="74" t="str">
        <x:v>Locais dentro de capítulos e gatilhos de DLC; todos recuperáveis por repetição de capítulo/episódio.</x:v>
      </x:c>
      <x:c r="C29" s="74" t="str">
        <x:v>S06; S08</x:v>
      </x:c>
      <x:c r="D29" s="74" t="str">
        <x:v>Alta</x:v>
      </x:c>
    </x:row>
    <x:row r="30">
      <x:c r="A30" s="78" t="str">
        <x:v>Save interno</x:v>
      </x:c>
      <x:c r="B30" s="78" t="str">
        <x:v>Autosave/checkpoints e um perfil de progresso; não há ramificação de finais. Backup externo serve para segurança/gastos, não para reduzir campanhas obrigatórias.</x:v>
      </x:c>
      <x:c r="C30" s="78" t="str">
        <x:v>S03; S06</x:v>
      </x:c>
      <x:c r="D30" s="78" t="str">
        <x:v>Média-alta</x:v>
      </x:c>
    </x:row>
    <x:row r="31">
      <x:c r="A31" s="74" t="str">
        <x:v>Bugs/glitches críticos</x:v>
      </x:c>
      <x:c r="B31" s="74" t="str">
        <x:v>Nenhum bug crítico confirmado que impeça 100%; maior risco é crédito incompleto ao entrar no meio de capítulo coop.</x:v>
      </x:c>
      <x:c r="C31" s="74" t="str">
        <x:v>S06; S12</x:v>
      </x:c>
      <x:c r="D31" s="74" t="str">
        <x:v>Média-alta</x:v>
      </x:c>
    </x:row>
    <x:row r="32">
      <x:c r="A32" s="78" t="str">
        <x:v>Servidores</x:v>
      </x:c>
      <x:c r="B32" s="78" t="str">
        <x:v>Online ainda utilizável na verificação, mas é informação temporal e deve ser revalidada.</x:v>
      </x:c>
      <x:c r="C32" s="78" t="str">
        <x:v>S01; S13</x:v>
      </x:c>
      <x:c r="D32" s="78" t="str">
        <x:v>Média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5f4a9bd5a1041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4" hidden="0" customWidth="1"/>
    <x:col min="8" max="8" width="48" hidden="0" customWidth="1"/>
    <x:col min="9" max="9" width="45" hidden="0" customWidth="1"/>
  </x:cols>
  <x:sheetData>
    <x:row r="1" ht="30" customHeight="1">
      <x:c r="A1" s="5" t="str">
        <x:v>2 — Inventário de troféus por pacote</x:v>
      </x:c>
    </x:row>
    <x:row r="2" ht="20" customHeight="1">
      <x:c r="A2" s="11" t="str">
        <x:v>AtlasAchievement • Portão A • verificação: 26/07/2026</x:v>
      </x:c>
      <x:c r="B2" t="str"/>
      <x:c r="C2" t="str"/>
      <x:c r="D2" t="str"/>
      <x:c r="E2" t="str"/>
      <x:c r="F2" t="str"/>
      <x:c r="G2" t="str"/>
      <x:c r="H2" t="str"/>
      <x:c r="I2" t="str"/>
    </x:row>
    <x:row r="3" ht="30" customHeight="1">
      <x:c r="A3" s="66" t="str">
        <x:v>Pacote</x:v>
      </x:c>
      <x:c r="B3" s="66" t="str">
        <x:v>Total</x:v>
      </x:c>
      <x:c r="C3" s="66" t="str">
        <x:v>Platina</x:v>
      </x:c>
      <x:c r="D3" s="66" t="str">
        <x:v>Ouro</x:v>
      </x:c>
      <x:c r="E3" s="66" t="str">
        <x:v>Prata</x:v>
      </x:c>
      <x:c r="F3" s="66" t="str">
        <x:v>Bronze</x:v>
      </x:c>
      <x:c r="G3" s="66" t="str">
        <x:v>Escopo</x:v>
      </x:c>
      <x:c r="H3" s="66" t="str">
        <x:v>Conteúdo</x:v>
      </x:c>
      <x:c r="I3" s="66" t="str">
        <x:v>Online/coop</x:v>
      </x:c>
    </x:row>
    <x:row r="4">
      <x:c r="A4" s="78" t="str">
        <x:v>Jogo-base</x:v>
      </x:c>
      <x:c r="B4" s="78" t="n">
        <x:v>51</x:v>
      </x:c>
      <x:c r="C4" s="78" t="n">
        <x:v>1</x:v>
      </x:c>
      <x:c r="D4" s="78" t="n">
        <x:v>1</x:v>
      </x:c>
      <x:c r="E4" s="78" t="n">
        <x:v>11</x:v>
      </x:c>
      <x:c r="F4" s="78" t="n">
        <x:v>38</x:v>
      </x:c>
      <x:c r="G4" s="78" t="str">
        <x:v>Platina</x:v>
      </x:c>
      <x:c r="H4" s="78" t="str">
        <x:v>Campanha, dificuldades, coletáveis, economia, upgrades, ranks e situacionais.</x:v>
      </x:c>
      <x:c r="I4" s="78" t="str">
        <x:v>Não exige online estrito; coop opcional.</x:v>
      </x:c>
    </x:row>
    <x:row r="5">
      <x:c r="A5" s="74" t="str">
        <x:v>Versus</x:v>
      </x:c>
      <x:c r="B5" s="74" t="n">
        <x:v>10</x:v>
      </x:c>
      <x:c r="C5" s="74" t="n">
        <x:v>0</x:v>
      </x:c>
      <x:c r="D5" s="74" t="n">
        <x:v>0</x:v>
      </x:c>
      <x:c r="E5" s="74" t="n">
        <x:v>3</x:v>
      </x:c>
      <x:c r="F5" s="74" t="n">
        <x:v>7</x:v>
      </x:c>
      <x:c r="G5" s="74" t="str">
        <x:v>100%</x:v>
      </x:c>
      <x:c r="H5" s="74" t="str">
        <x:v>4 modalidades competitivas, combos, pontuações, personagens e 50 abates físicos.</x:v>
      </x:c>
      <x:c r="I5" s="74" t="str">
        <x:v>Online estrito; 2 jogadores nos modos individuais, 4 nos modos em equipe.</x:v>
      </x:c>
    </x:row>
    <x:row r="6">
      <x:c r="A6" s="78" t="str">
        <x:v>Lost in Nightmares</x:v>
      </x:c>
      <x:c r="B6" s="78" t="n">
        <x:v>5</x:v>
      </x:c>
      <x:c r="C6" s="78" t="n">
        <x:v>0</x:v>
      </x:c>
      <x:c r="D6" s="78" t="n">
        <x:v>0</x:v>
      </x:c>
      <x:c r="E6" s="78" t="n">
        <x:v>1</x:v>
      </x:c>
      <x:c r="F6" s="78" t="n">
        <x:v>4</x:v>
      </x:c>
      <x:c r="G6" s="78" t="str">
        <x:v>100%</x:v>
      </x:c>
      <x:c r="H6" s="78" t="str">
        <x:v>Conclusão, rank S, Professional, dano em Wesker e 18 Score Stars.</x:v>
      </x:c>
      <x:c r="I6" s="78" t="str">
        <x:v>Coop opcional; 18/18 na mesma passagem.</x:v>
      </x:c>
    </x:row>
    <x:row r="7">
      <x:c r="A7" s="74" t="str">
        <x:v>Desperate Escape</x:v>
      </x:c>
      <x:c r="B7" s="74" t="n">
        <x:v>5</x:v>
      </x:c>
      <x:c r="C7" s="74" t="n">
        <x:v>0</x:v>
      </x:c>
      <x:c r="D7" s="74" t="n">
        <x:v>0</x:v>
      </x:c>
      <x:c r="E7" s="74" t="n">
        <x:v>1</x:v>
      </x:c>
      <x:c r="F7" s="74" t="n">
        <x:v>4</x:v>
      </x:c>
      <x:c r="G7" s="74" t="str">
        <x:v>100%</x:v>
      </x:c>
      <x:c r="H7" s="74" t="str">
        <x:v>Conclusão, rank S, Professional, 150 abates pessoais e 3 Agitators.</x:v>
      </x:c>
      <x:c r="I7" s="74" t="str">
        <x:v>Coop opcional; objetivos especiais na mesma passagem.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ec16a91cd9242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0" hidden="0" customWidth="1"/>
    <x:col min="4" max="4" width="22" hidden="0" customWidth="1"/>
    <x:col min="5" max="5" width="48" hidden="0" customWidth="1"/>
    <x:col min="6" max="6" width="32" hidden="0" customWidth="1"/>
    <x:col min="7" max="7" width="20" hidden="0" customWidth="1"/>
    <x:col min="8" max="8" width="10" hidden="0" customWidth="1"/>
    <x:col min="9" max="9" width="16" hidden="0" customWidth="1"/>
    <x:col min="10" max="10" width="20" hidden="0" customWidth="1"/>
    <x:col min="11" max="11" width="25" hidden="0" customWidth="1"/>
    <x:col min="12" max="12" width="28" hidden="0" customWidth="1"/>
    <x:col min="13" max="13" width="30" hidden="0" customWidth="1"/>
    <x:col min="14" max="14" width="34" hidden="0" customWidth="1"/>
    <x:col min="15" max="15" width="72" hidden="0" customWidth="1"/>
    <x:col min="16" max="16" width="48" hidden="0" customWidth="1"/>
    <x:col min="17" max="17" width="48" hidden="0" customWidth="1"/>
    <x:col min="18" max="18" width="48" hidden="0" customWidth="1"/>
    <x:col min="19" max="19" width="22" hidden="0" customWidth="1"/>
    <x:col min="20" max="20" width="28" hidden="0" customWidth="1"/>
    <x:col min="21" max="21" width="42" hidden="0" customWidth="1"/>
    <x:col min="22" max="22" width="18" hidden="0" customWidth="1"/>
    <x:col min="23" max="23" width="14" hidden="0" customWidth="1"/>
    <x:col min="24" max="24" width="14" hidden="0" customWidth="1"/>
  </x:cols>
  <x:sheetData>
    <x:row r="1" ht="30" customHeight="1">
      <x:c r="A1" s="5" t="str">
        <x:v>3 — Matriz de cobertura 1:1 — 71 troféus</x:v>
      </x:c>
    </x:row>
    <x:row r="2" ht="20" customHeight="1">
      <x:c r="A2" s="11" t="str">
        <x:v>AtlasAchievement • Portão B • rota final validada: 26/07/2026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</x:row>
    <x:row r="3" ht="30" customHeight="1">
      <x:c r="A3" s="66" t="str">
        <x:v>ID</x:v>
      </x:c>
      <x:c r="B3" s="66" t="str">
        <x:v>Troféu</x:v>
      </x:c>
      <x:c r="C3" s="66" t="str">
        <x:v>Tipo</x:v>
      </x:c>
      <x:c r="D3" s="66" t="str">
        <x:v>Pacote</x:v>
      </x:c>
      <x:c r="E3" s="66" t="str">
        <x:v>Descrição oficial</x:v>
      </x:c>
      <x:c r="F3" s="66" t="str">
        <x:v>Categoria</x:v>
      </x:c>
      <x:c r="G3" s="66" t="str">
        <x:v>Perdível</x:v>
      </x:c>
      <x:c r="H3" s="66" t="str">
        <x:v>Online</x:v>
      </x:c>
      <x:c r="I3" s="66" t="str">
        <x:v>Coop</x:v>
      </x:c>
      <x:c r="J3" s="66" t="str">
        <x:v>Cumulativo</x:v>
      </x:c>
      <x:c r="K3" s="66" t="str">
        <x:v>Campanha</x:v>
      </x:c>
      <x:c r="L3" s="66" t="str">
        <x:v>Etapa</x:v>
      </x:c>
      <x:c r="M3" s="66" t="str">
        <x:v>Momento</x:v>
      </x:c>
      <x:c r="N3" s="66" t="str">
        <x:v>Pré-requisitos</x:v>
      </x:c>
      <x:c r="O3" s="66" t="str">
        <x:v>Método executável</x:v>
      </x:c>
      <x:c r="P3" s="66" t="str">
        <x:v>Risco</x:v>
      </x:c>
      <x:c r="Q3" s="66" t="str">
        <x:v>Prevenção</x:v>
      </x:c>
      <x:c r="R3" s="66" t="str">
        <x:v>Recuperação</x:v>
      </x:c>
      <x:c r="S3" s="66" t="str">
        <x:v>Limpeza</x:v>
      </x:c>
      <x:c r="T3" s="66" t="str">
        <x:v>Save</x:v>
      </x:c>
      <x:c r="U3" s="66" t="str">
        <x:v>Dependências</x:v>
      </x:c>
      <x:c r="V3" s="66" t="str">
        <x:v>Fonte</x:v>
      </x:c>
      <x:c r="W3" s="66" t="str">
        <x:v>Confiança</x:v>
      </x:c>
      <x:c r="X3" s="66" t="str">
        <x:v>Status</x:v>
      </x:c>
    </x:row>
    <x:row r="4">
      <x:c r="A4" s="78" t="str">
        <x:v>001</x:v>
      </x:c>
      <x:c r="B4" s="78" t="str">
        <x:v>RESIDENT EVIL 5 Platinum Trophy</x:v>
      </x:c>
      <x:c r="C4" s="78" t="str">
        <x:v>Platina</x:v>
      </x:c>
      <x:c r="D4" s="78" t="str">
        <x:v>Jogo-base</x:v>
      </x:c>
      <x:c r="E4" s="78" t="str">
        <x:v>Congratulations! You've overcome all your fears in RESIDENT EVIL 5!</x:v>
      </x:c>
      <x:c r="F4" s="78" t="str">
        <x:v>Platina; cobertura</x:v>
      </x:c>
      <x:c r="G4" s="78" t="str">
        <x:v>Não</x:v>
      </x:c>
      <x:c r="H4" s="78" t="str">
        <x:v>Não</x:v>
      </x:c>
      <x:c r="I4" s="78" t="str">
        <x:v>Opcional</x:v>
      </x:c>
      <x:c r="J4" s="78" t="str">
        <x:v>Não</x:v>
      </x:c>
      <x:c r="K4" s="78" t="str">
        <x:v>Campanha 4 — Professional / auditoria</x:v>
      </x:c>
      <x:c r="L4" s="78" t="str">
        <x:v>Etapa 4 — Professional e auditoria da platina</x:v>
      </x:c>
      <x:c r="M4" s="78" t="str">
        <x:v>Após os outros 50 troféus do jogo-base</x:v>
      </x:c>
      <x:c r="N4" s="78" t="str">
        <x:v>Todos os 50 troféus base obtidos</x:v>
      </x:c>
      <x:c r="O4" s="78" t="str">
        <x:v>Automático ao obter o último troféu do jogo-base.</x:v>
      </x:c>
      <x:c r="P4" s="78" t="str">
        <x:v>Misturar os 20 troféus adicionais à exigência da platina.</x:v>
      </x:c>
      <x:c r="Q4" s="78" t="str">
        <x:v>Auditar 51/51 no pacote base; DLCs ficam fora.</x:v>
      </x:c>
      <x:c r="R4" s="78" t="str">
        <x:v>Concluir somente o troféu base faltante.</x:v>
      </x:c>
      <x:c r="S4" s="78" t="str">
        <x:v>Sim</x:v>
      </x:c>
      <x:c r="T4" s="78" t="str">
        <x:v>—</x:v>
      </x:c>
      <x:c r="U4" s="78" t="str">
        <x:v>Todos os 50 troféus base</x:v>
      </x:c>
      <x:c r="V4" s="78" t="str">
        <x:v>S05; S07</x:v>
      </x:c>
      <x:c r="W4" s="78" t="str">
        <x:v>Alta</x:v>
      </x:c>
      <x:c r="X4" s="78" t="str">
        <x:v>Confirmado</x:v>
      </x:c>
    </x:row>
    <x:row r="5">
      <x:c r="A5" s="74" t="str">
        <x:v>002</x:v>
      </x:c>
      <x:c r="B5" s="74" t="str">
        <x:v>Completed Chapter 1 - 1</x:v>
      </x:c>
      <x:c r="C5" s="74" t="str">
        <x:v>Bronze</x:v>
      </x:c>
      <x:c r="D5" s="74" t="str">
        <x:v>Jogo-base</x:v>
      </x:c>
      <x:c r="E5" s="74" t="str">
        <x:v>Complete Chapter 1 - 1 on any difficulty setting.</x:v>
      </x:c>
      <x:c r="F5" s="74" t="str">
        <x:v>História; automático; capítulo</x:v>
      </x:c>
      <x:c r="G5" s="74" t="str">
        <x:v>Não</x:v>
      </x:c>
      <x:c r="H5" s="74" t="str">
        <x:v>Não</x:v>
      </x:c>
      <x:c r="I5" s="74" t="str">
        <x:v>Opcional</x:v>
      </x:c>
      <x:c r="J5" s="74" t="str">
        <x:v>Não</x:v>
      </x:c>
      <x:c r="K5" s="74" t="str">
        <x:v>Campanha 1 — Normal</x:v>
      </x:c>
      <x:c r="L5" s="74" t="str">
        <x:v>Etapa 1 — Normal: campanha, emblemas e tesouros</x:v>
      </x:c>
      <x:c r="M5" s="74" t="str">
        <x:v>Fim do capítulo 1 - 1</x:v>
      </x:c>
      <x:c r="N5" s="74" t="str">
        <x:v>Concluir o capítulo</x:v>
      </x:c>
      <x:c r="O5" s="74" t="str">
        <x:v>Automático ao concluir o capítulo 1 - 1 em qualquer dificuldade.</x:v>
      </x:c>
      <x:c r="P5" s="74" t="str">
        <x:v>Em coop, entrar após o começo pode deixar o registro incompleto em alguns casos.</x:v>
      </x:c>
      <x:c r="Q5" s="74" t="str">
        <x:v>Inicie o capítulo do começo e permaneça até a tela de resultados.</x:v>
      </x:c>
      <x:c r="R5" s="74" t="str">
        <x:v>Repita apenas 1 - 1 via Chapter Select.</x:v>
      </x:c>
      <x:c r="S5" s="74" t="str">
        <x:v>Chapter Select</x:v>
      </x:c>
      <x:c r="T5" s="74" t="str">
        <x:v>—</x:v>
      </x:c>
      <x:c r="U5" s="74" t="str">
        <x:v>Progressão da campanha</x:v>
      </x:c>
      <x:c r="V5" s="74" t="str">
        <x:v>S05</x:v>
      </x:c>
      <x:c r="W5" s="74" t="str">
        <x:v>Alta</x:v>
      </x:c>
      <x:c r="X5" s="74" t="str">
        <x:v>Confirmado</x:v>
      </x:c>
    </x:row>
    <x:row r="6">
      <x:c r="A6" s="78" t="str">
        <x:v>003</x:v>
      </x:c>
      <x:c r="B6" s="78" t="str">
        <x:v>Completed Chapter 1 - 2</x:v>
      </x:c>
      <x:c r="C6" s="78" t="str">
        <x:v>Bronze</x:v>
      </x:c>
      <x:c r="D6" s="78" t="str">
        <x:v>Jogo-base</x:v>
      </x:c>
      <x:c r="E6" s="78" t="str">
        <x:v>Complete Chapter 1 - 2 on any difficulty setting.</x:v>
      </x:c>
      <x:c r="F6" s="78" t="str">
        <x:v>História; automático; capítulo</x:v>
      </x:c>
      <x:c r="G6" s="78" t="str">
        <x:v>Não</x:v>
      </x:c>
      <x:c r="H6" s="78" t="str">
        <x:v>Não</x:v>
      </x:c>
      <x:c r="I6" s="78" t="str">
        <x:v>Opcional</x:v>
      </x:c>
      <x:c r="J6" s="78" t="str">
        <x:v>Não</x:v>
      </x:c>
      <x:c r="K6" s="78" t="str">
        <x:v>Campanha 1 — Normal</x:v>
      </x:c>
      <x:c r="L6" s="78" t="str">
        <x:v>Etapa 1 — Normal: campanha, emblemas e tesouros</x:v>
      </x:c>
      <x:c r="M6" s="78" t="str">
        <x:v>Fim do capítulo 1 - 2</x:v>
      </x:c>
      <x:c r="N6" s="78" t="str">
        <x:v>Concluir o capítulo</x:v>
      </x:c>
      <x:c r="O6" s="78" t="str">
        <x:v>Automático ao concluir o capítulo 1 - 2 em qualquer dificuldade.</x:v>
      </x:c>
      <x:c r="P6" s="78" t="str">
        <x:v>Em coop, entrar após o começo pode deixar o registro incompleto em alguns casos.</x:v>
      </x:c>
      <x:c r="Q6" s="78" t="str">
        <x:v>Inicie o capítulo do começo e permaneça até a tela de resultados.</x:v>
      </x:c>
      <x:c r="R6" s="78" t="str">
        <x:v>Repita apenas 1 - 2 via Chapter Select.</x:v>
      </x:c>
      <x:c r="S6" s="78" t="str">
        <x:v>Chapter Select</x:v>
      </x:c>
      <x:c r="T6" s="78" t="str">
        <x:v>—</x:v>
      </x:c>
      <x:c r="U6" s="78" t="str">
        <x:v>Progressão da campanha</x:v>
      </x:c>
      <x:c r="V6" s="78" t="str">
        <x:v>S05</x:v>
      </x:c>
      <x:c r="W6" s="78" t="str">
        <x:v>Alta</x:v>
      </x:c>
      <x:c r="X6" s="78" t="str">
        <x:v>Confirmado</x:v>
      </x:c>
    </x:row>
    <x:row r="7">
      <x:c r="A7" s="74" t="str">
        <x:v>004</x:v>
      </x:c>
      <x:c r="B7" s="74" t="str">
        <x:v>Completed Chapter 2 - 1</x:v>
      </x:c>
      <x:c r="C7" s="74" t="str">
        <x:v>Bronze</x:v>
      </x:c>
      <x:c r="D7" s="74" t="str">
        <x:v>Jogo-base</x:v>
      </x:c>
      <x:c r="E7" s="74" t="str">
        <x:v>Complete Chapter 2 - 1 on any difficulty setting.</x:v>
      </x:c>
      <x:c r="F7" s="74" t="str">
        <x:v>História; automático; capítulo</x:v>
      </x:c>
      <x:c r="G7" s="74" t="str">
        <x:v>Não</x:v>
      </x:c>
      <x:c r="H7" s="74" t="str">
        <x:v>Não</x:v>
      </x:c>
      <x:c r="I7" s="74" t="str">
        <x:v>Opcional</x:v>
      </x:c>
      <x:c r="J7" s="74" t="str">
        <x:v>Não</x:v>
      </x:c>
      <x:c r="K7" s="74" t="str">
        <x:v>Campanha 1 — Normal</x:v>
      </x:c>
      <x:c r="L7" s="74" t="str">
        <x:v>Etapa 1 — Normal: campanha, emblemas e tesouros</x:v>
      </x:c>
      <x:c r="M7" s="74" t="str">
        <x:v>Fim do capítulo 2 - 1</x:v>
      </x:c>
      <x:c r="N7" s="74" t="str">
        <x:v>Concluir o capítulo</x:v>
      </x:c>
      <x:c r="O7" s="74" t="str">
        <x:v>Automático ao concluir o capítulo 2 - 1 em qualquer dificuldade.</x:v>
      </x:c>
      <x:c r="P7" s="74" t="str">
        <x:v>Em coop, entrar após o começo pode deixar o registro incompleto em alguns casos.</x:v>
      </x:c>
      <x:c r="Q7" s="74" t="str">
        <x:v>Inicie o capítulo do começo e permaneça até a tela de resultados.</x:v>
      </x:c>
      <x:c r="R7" s="74" t="str">
        <x:v>Repita apenas 2 - 1 via Chapter Select.</x:v>
      </x:c>
      <x:c r="S7" s="74" t="str">
        <x:v>Chapter Select</x:v>
      </x:c>
      <x:c r="T7" s="74" t="str">
        <x:v>—</x:v>
      </x:c>
      <x:c r="U7" s="74" t="str">
        <x:v>Progressão da campanha</x:v>
      </x:c>
      <x:c r="V7" s="74" t="str">
        <x:v>S05</x:v>
      </x:c>
      <x:c r="W7" s="74" t="str">
        <x:v>Alta</x:v>
      </x:c>
      <x:c r="X7" s="74" t="str">
        <x:v>Confirmado</x:v>
      </x:c>
    </x:row>
    <x:row r="8">
      <x:c r="A8" s="78" t="str">
        <x:v>005</x:v>
      </x:c>
      <x:c r="B8" s="78" t="str">
        <x:v>Completed Chapter 2 - 2</x:v>
      </x:c>
      <x:c r="C8" s="78" t="str">
        <x:v>Bronze</x:v>
      </x:c>
      <x:c r="D8" s="78" t="str">
        <x:v>Jogo-base</x:v>
      </x:c>
      <x:c r="E8" s="78" t="str">
        <x:v>Complete Chapter 2 - 2 on any difficulty setting.</x:v>
      </x:c>
      <x:c r="F8" s="78" t="str">
        <x:v>História; automático; capítulo</x:v>
      </x:c>
      <x:c r="G8" s="78" t="str">
        <x:v>Não</x:v>
      </x:c>
      <x:c r="H8" s="78" t="str">
        <x:v>Não</x:v>
      </x:c>
      <x:c r="I8" s="78" t="str">
        <x:v>Opcional</x:v>
      </x:c>
      <x:c r="J8" s="78" t="str">
        <x:v>Não</x:v>
      </x:c>
      <x:c r="K8" s="78" t="str">
        <x:v>Campanha 1 — Normal</x:v>
      </x:c>
      <x:c r="L8" s="78" t="str">
        <x:v>Etapa 1 — Normal: campanha, emblemas e tesouros</x:v>
      </x:c>
      <x:c r="M8" s="78" t="str">
        <x:v>Fim do capítulo 2 - 2</x:v>
      </x:c>
      <x:c r="N8" s="78" t="str">
        <x:v>Concluir o capítulo</x:v>
      </x:c>
      <x:c r="O8" s="78" t="str">
        <x:v>Automático ao concluir o capítulo 2 - 2 em qualquer dificuldade.</x:v>
      </x:c>
      <x:c r="P8" s="78" t="str">
        <x:v>Em coop, entrar após o começo pode deixar o registro incompleto em alguns casos.</x:v>
      </x:c>
      <x:c r="Q8" s="78" t="str">
        <x:v>Inicie o capítulo do começo e permaneça até a tela de resultados.</x:v>
      </x:c>
      <x:c r="R8" s="78" t="str">
        <x:v>Repita apenas 2 - 2 via Chapter Select.</x:v>
      </x:c>
      <x:c r="S8" s="78" t="str">
        <x:v>Chapter Select</x:v>
      </x:c>
      <x:c r="T8" s="78" t="str">
        <x:v>—</x:v>
      </x:c>
      <x:c r="U8" s="78" t="str">
        <x:v>Progressão da campanha</x:v>
      </x:c>
      <x:c r="V8" s="78" t="str">
        <x:v>S05</x:v>
      </x:c>
      <x:c r="W8" s="78" t="str">
        <x:v>Alta</x:v>
      </x:c>
      <x:c r="X8" s="78" t="str">
        <x:v>Confirmado</x:v>
      </x:c>
    </x:row>
    <x:row r="9">
      <x:c r="A9" s="74" t="str">
        <x:v>006</x:v>
      </x:c>
      <x:c r="B9" s="74" t="str">
        <x:v>Completed Chapter 2 - 3</x:v>
      </x:c>
      <x:c r="C9" s="74" t="str">
        <x:v>Bronze</x:v>
      </x:c>
      <x:c r="D9" s="74" t="str">
        <x:v>Jogo-base</x:v>
      </x:c>
      <x:c r="E9" s="74" t="str">
        <x:v>Complete Chapter 2 - 3 on any difficulty setting.</x:v>
      </x:c>
      <x:c r="F9" s="74" t="str">
        <x:v>História; automático; capítulo</x:v>
      </x:c>
      <x:c r="G9" s="74" t="str">
        <x:v>Não</x:v>
      </x:c>
      <x:c r="H9" s="74" t="str">
        <x:v>Não</x:v>
      </x:c>
      <x:c r="I9" s="74" t="str">
        <x:v>Opcional</x:v>
      </x:c>
      <x:c r="J9" s="74" t="str">
        <x:v>Não</x:v>
      </x:c>
      <x:c r="K9" s="74" t="str">
        <x:v>Campanha 1 — Normal</x:v>
      </x:c>
      <x:c r="L9" s="74" t="str">
        <x:v>Etapa 1 — Normal: campanha, emblemas e tesouros</x:v>
      </x:c>
      <x:c r="M9" s="74" t="str">
        <x:v>Fim do capítulo 2 - 3</x:v>
      </x:c>
      <x:c r="N9" s="74" t="str">
        <x:v>Concluir o capítulo</x:v>
      </x:c>
      <x:c r="O9" s="74" t="str">
        <x:v>Automático ao concluir o capítulo 2 - 3 em qualquer dificuldade.</x:v>
      </x:c>
      <x:c r="P9" s="74" t="str">
        <x:v>Em coop, entrar após o começo pode deixar o registro incompleto em alguns casos.</x:v>
      </x:c>
      <x:c r="Q9" s="74" t="str">
        <x:v>Inicie o capítulo do começo e permaneça até a tela de resultados.</x:v>
      </x:c>
      <x:c r="R9" s="74" t="str">
        <x:v>Repita apenas 2 - 3 via Chapter Select.</x:v>
      </x:c>
      <x:c r="S9" s="74" t="str">
        <x:v>Chapter Select</x:v>
      </x:c>
      <x:c r="T9" s="74" t="str">
        <x:v>—</x:v>
      </x:c>
      <x:c r="U9" s="74" t="str">
        <x:v>Progressão da campanha</x:v>
      </x:c>
      <x:c r="V9" s="74" t="str">
        <x:v>S05</x:v>
      </x:c>
      <x:c r="W9" s="74" t="str">
        <x:v>Alta</x:v>
      </x:c>
      <x:c r="X9" s="74" t="str">
        <x:v>Confirmado</x:v>
      </x:c>
    </x:row>
    <x:row r="10">
      <x:c r="A10" s="78" t="str">
        <x:v>007</x:v>
      </x:c>
      <x:c r="B10" s="78" t="str">
        <x:v>Completed Chapter 3 - 1</x:v>
      </x:c>
      <x:c r="C10" s="78" t="str">
        <x:v>Bronze</x:v>
      </x:c>
      <x:c r="D10" s="78" t="str">
        <x:v>Jogo-base</x:v>
      </x:c>
      <x:c r="E10" s="78" t="str">
        <x:v>Complete Chapter 3 - 1 on any difficulty setting.</x:v>
      </x:c>
      <x:c r="F10" s="78" t="str">
        <x:v>História; automático; capítulo</x:v>
      </x:c>
      <x:c r="G10" s="78" t="str">
        <x:v>Não</x:v>
      </x:c>
      <x:c r="H10" s="78" t="str">
        <x:v>Não</x:v>
      </x:c>
      <x:c r="I10" s="78" t="str">
        <x:v>Opcional</x:v>
      </x:c>
      <x:c r="J10" s="78" t="str">
        <x:v>Não</x:v>
      </x:c>
      <x:c r="K10" s="78" t="str">
        <x:v>Campanha 1 — Normal</x:v>
      </x:c>
      <x:c r="L10" s="78" t="str">
        <x:v>Etapa 1 — Normal: campanha, emblemas e tesouros</x:v>
      </x:c>
      <x:c r="M10" s="78" t="str">
        <x:v>Fim do capítulo 3 - 1</x:v>
      </x:c>
      <x:c r="N10" s="78" t="str">
        <x:v>Concluir o capítulo</x:v>
      </x:c>
      <x:c r="O10" s="78" t="str">
        <x:v>Automático ao concluir o capítulo 3 - 1 em qualquer dificuldade.</x:v>
      </x:c>
      <x:c r="P10" s="78" t="str">
        <x:v>Em coop, entrar após o começo pode deixar o registro incompleto em alguns casos.</x:v>
      </x:c>
      <x:c r="Q10" s="78" t="str">
        <x:v>Inicie o capítulo do começo e permaneça até a tela de resultados.</x:v>
      </x:c>
      <x:c r="R10" s="78" t="str">
        <x:v>Repita apenas 3 - 1 via Chapter Select.</x:v>
      </x:c>
      <x:c r="S10" s="78" t="str">
        <x:v>Chapter Select</x:v>
      </x:c>
      <x:c r="T10" s="78" t="str">
        <x:v>—</x:v>
      </x:c>
      <x:c r="U10" s="78" t="str">
        <x:v>Progressão da campanha</x:v>
      </x:c>
      <x:c r="V10" s="78" t="str">
        <x:v>S05</x:v>
      </x:c>
      <x:c r="W10" s="78" t="str">
        <x:v>Alta</x:v>
      </x:c>
      <x:c r="X10" s="78" t="str">
        <x:v>Confirmado</x:v>
      </x:c>
    </x:row>
    <x:row r="11">
      <x:c r="A11" s="74" t="str">
        <x:v>008</x:v>
      </x:c>
      <x:c r="B11" s="74" t="str">
        <x:v>Completed Chapter 3 - 2</x:v>
      </x:c>
      <x:c r="C11" s="74" t="str">
        <x:v>Bronze</x:v>
      </x:c>
      <x:c r="D11" s="74" t="str">
        <x:v>Jogo-base</x:v>
      </x:c>
      <x:c r="E11" s="74" t="str">
        <x:v>Complete Chapter 3 - 2 on any difficulty setting.</x:v>
      </x:c>
      <x:c r="F11" s="74" t="str">
        <x:v>História; automático; capítulo</x:v>
      </x:c>
      <x:c r="G11" s="74" t="str">
        <x:v>Não</x:v>
      </x:c>
      <x:c r="H11" s="74" t="str">
        <x:v>Não</x:v>
      </x:c>
      <x:c r="I11" s="74" t="str">
        <x:v>Opcional</x:v>
      </x:c>
      <x:c r="J11" s="74" t="str">
        <x:v>Não</x:v>
      </x:c>
      <x:c r="K11" s="74" t="str">
        <x:v>Campanha 1 — Normal</x:v>
      </x:c>
      <x:c r="L11" s="74" t="str">
        <x:v>Etapa 1 — Normal: campanha, emblemas e tesouros</x:v>
      </x:c>
      <x:c r="M11" s="74" t="str">
        <x:v>Fim do capítulo 3 - 2</x:v>
      </x:c>
      <x:c r="N11" s="74" t="str">
        <x:v>Concluir o capítulo</x:v>
      </x:c>
      <x:c r="O11" s="74" t="str">
        <x:v>Automático ao concluir o capítulo 3 - 2 em qualquer dificuldade.</x:v>
      </x:c>
      <x:c r="P11" s="74" t="str">
        <x:v>Em coop, entrar após o começo pode deixar o registro incompleto em alguns casos.</x:v>
      </x:c>
      <x:c r="Q11" s="74" t="str">
        <x:v>Inicie o capítulo do começo e permaneça até a tela de resultados.</x:v>
      </x:c>
      <x:c r="R11" s="74" t="str">
        <x:v>Repita apenas 3 - 2 via Chapter Select.</x:v>
      </x:c>
      <x:c r="S11" s="74" t="str">
        <x:v>Chapter Select</x:v>
      </x:c>
      <x:c r="T11" s="74" t="str">
        <x:v>—</x:v>
      </x:c>
      <x:c r="U11" s="74" t="str">
        <x:v>Progressão da campanha</x:v>
      </x:c>
      <x:c r="V11" s="74" t="str">
        <x:v>S05</x:v>
      </x:c>
      <x:c r="W11" s="74" t="str">
        <x:v>Alta</x:v>
      </x:c>
      <x:c r="X11" s="74" t="str">
        <x:v>Confirmado</x:v>
      </x:c>
    </x:row>
    <x:row r="12">
      <x:c r="A12" s="78" t="str">
        <x:v>009</x:v>
      </x:c>
      <x:c r="B12" s="78" t="str">
        <x:v>Completed Chapter 3 - 3</x:v>
      </x:c>
      <x:c r="C12" s="78" t="str">
        <x:v>Bronze</x:v>
      </x:c>
      <x:c r="D12" s="78" t="str">
        <x:v>Jogo-base</x:v>
      </x:c>
      <x:c r="E12" s="78" t="str">
        <x:v>Complete Chapter 3 - 3 on any difficulty setting.</x:v>
      </x:c>
      <x:c r="F12" s="78" t="str">
        <x:v>História; automático; capítulo</x:v>
      </x:c>
      <x:c r="G12" s="78" t="str">
        <x:v>Não</x:v>
      </x:c>
      <x:c r="H12" s="78" t="str">
        <x:v>Não</x:v>
      </x:c>
      <x:c r="I12" s="78" t="str">
        <x:v>Opcional</x:v>
      </x:c>
      <x:c r="J12" s="78" t="str">
        <x:v>Não</x:v>
      </x:c>
      <x:c r="K12" s="78" t="str">
        <x:v>Campanha 1 — Normal</x:v>
      </x:c>
      <x:c r="L12" s="78" t="str">
        <x:v>Etapa 1 — Normal: campanha, emblemas e tesouros</x:v>
      </x:c>
      <x:c r="M12" s="78" t="str">
        <x:v>Fim do capítulo 3 - 3</x:v>
      </x:c>
      <x:c r="N12" s="78" t="str">
        <x:v>Concluir o capítulo</x:v>
      </x:c>
      <x:c r="O12" s="78" t="str">
        <x:v>Automático ao concluir o capítulo 3 - 3 em qualquer dificuldade.</x:v>
      </x:c>
      <x:c r="P12" s="78" t="str">
        <x:v>Em coop, entrar após o começo pode deixar o registro incompleto em alguns casos.</x:v>
      </x:c>
      <x:c r="Q12" s="78" t="str">
        <x:v>Inicie o capítulo do começo e permaneça até a tela de resultados.</x:v>
      </x:c>
      <x:c r="R12" s="78" t="str">
        <x:v>Repita apenas 3 - 3 via Chapter Select.</x:v>
      </x:c>
      <x:c r="S12" s="78" t="str">
        <x:v>Chapter Select</x:v>
      </x:c>
      <x:c r="T12" s="78" t="str">
        <x:v>—</x:v>
      </x:c>
      <x:c r="U12" s="78" t="str">
        <x:v>Progressão da campanha</x:v>
      </x:c>
      <x:c r="V12" s="78" t="str">
        <x:v>S05</x:v>
      </x:c>
      <x:c r="W12" s="78" t="str">
        <x:v>Alta</x:v>
      </x:c>
      <x:c r="X12" s="78" t="str">
        <x:v>Confirmado</x:v>
      </x:c>
    </x:row>
    <x:row r="13">
      <x:c r="A13" s="74" t="str">
        <x:v>010</x:v>
      </x:c>
      <x:c r="B13" s="74" t="str">
        <x:v>Completed Chapter 4 - 1</x:v>
      </x:c>
      <x:c r="C13" s="74" t="str">
        <x:v>Bronze</x:v>
      </x:c>
      <x:c r="D13" s="74" t="str">
        <x:v>Jogo-base</x:v>
      </x:c>
      <x:c r="E13" s="74" t="str">
        <x:v>Complete Chapter 4 - 1 on any difficulty setting.</x:v>
      </x:c>
      <x:c r="F13" s="74" t="str">
        <x:v>História; automático; capítulo</x:v>
      </x:c>
      <x:c r="G13" s="74" t="str">
        <x:v>Não</x:v>
      </x:c>
      <x:c r="H13" s="74" t="str">
        <x:v>Não</x:v>
      </x:c>
      <x:c r="I13" s="74" t="str">
        <x:v>Opcional</x:v>
      </x:c>
      <x:c r="J13" s="74" t="str">
        <x:v>Não</x:v>
      </x:c>
      <x:c r="K13" s="74" t="str">
        <x:v>Campanha 1 — Normal</x:v>
      </x:c>
      <x:c r="L13" s="74" t="str">
        <x:v>Etapa 1 — Normal: campanha, emblemas e tesouros</x:v>
      </x:c>
      <x:c r="M13" s="74" t="str">
        <x:v>Fim do capítulo 4 - 1</x:v>
      </x:c>
      <x:c r="N13" s="74" t="str">
        <x:v>Concluir o capítulo</x:v>
      </x:c>
      <x:c r="O13" s="74" t="str">
        <x:v>Automático ao concluir o capítulo 4 - 1 em qualquer dificuldade.</x:v>
      </x:c>
      <x:c r="P13" s="74" t="str">
        <x:v>Em coop, entrar após o começo pode deixar o registro incompleto em alguns casos.</x:v>
      </x:c>
      <x:c r="Q13" s="74" t="str">
        <x:v>Inicie o capítulo do começo e permaneça até a tela de resultados.</x:v>
      </x:c>
      <x:c r="R13" s="74" t="str">
        <x:v>Repita apenas 4 - 1 via Chapter Select.</x:v>
      </x:c>
      <x:c r="S13" s="74" t="str">
        <x:v>Chapter Select</x:v>
      </x:c>
      <x:c r="T13" s="74" t="str">
        <x:v>—</x:v>
      </x:c>
      <x:c r="U13" s="74" t="str">
        <x:v>Progressão da campanha</x:v>
      </x:c>
      <x:c r="V13" s="74" t="str">
        <x:v>S05</x:v>
      </x:c>
      <x:c r="W13" s="74" t="str">
        <x:v>Alta</x:v>
      </x:c>
      <x:c r="X13" s="74" t="str">
        <x:v>Confirmado</x:v>
      </x:c>
    </x:row>
    <x:row r="14">
      <x:c r="A14" s="78" t="str">
        <x:v>011</x:v>
      </x:c>
      <x:c r="B14" s="78" t="str">
        <x:v>Completed Chapter 4 - 2</x:v>
      </x:c>
      <x:c r="C14" s="78" t="str">
        <x:v>Bronze</x:v>
      </x:c>
      <x:c r="D14" s="78" t="str">
        <x:v>Jogo-base</x:v>
      </x:c>
      <x:c r="E14" s="78" t="str">
        <x:v>Complete Chapter 4 - 2 on any difficulty setting.</x:v>
      </x:c>
      <x:c r="F14" s="78" t="str">
        <x:v>História; automático; capítulo</x:v>
      </x:c>
      <x:c r="G14" s="78" t="str">
        <x:v>Não</x:v>
      </x:c>
      <x:c r="H14" s="78" t="str">
        <x:v>Não</x:v>
      </x:c>
      <x:c r="I14" s="78" t="str">
        <x:v>Opcional</x:v>
      </x:c>
      <x:c r="J14" s="78" t="str">
        <x:v>Não</x:v>
      </x:c>
      <x:c r="K14" s="78" t="str">
        <x:v>Campanha 1 — Normal</x:v>
      </x:c>
      <x:c r="L14" s="78" t="str">
        <x:v>Etapa 1 — Normal: campanha, emblemas e tesouros</x:v>
      </x:c>
      <x:c r="M14" s="78" t="str">
        <x:v>Fim do capítulo 4 - 2</x:v>
      </x:c>
      <x:c r="N14" s="78" t="str">
        <x:v>Concluir o capítulo</x:v>
      </x:c>
      <x:c r="O14" s="78" t="str">
        <x:v>Automático ao concluir o capítulo 4 - 2 em qualquer dificuldade.</x:v>
      </x:c>
      <x:c r="P14" s="78" t="str">
        <x:v>Em coop, entrar após o começo pode deixar o registro incompleto em alguns casos.</x:v>
      </x:c>
      <x:c r="Q14" s="78" t="str">
        <x:v>Inicie o capítulo do começo e permaneça até a tela de resultados.</x:v>
      </x:c>
      <x:c r="R14" s="78" t="str">
        <x:v>Repita apenas 4 - 2 via Chapter Select.</x:v>
      </x:c>
      <x:c r="S14" s="78" t="str">
        <x:v>Chapter Select</x:v>
      </x:c>
      <x:c r="T14" s="78" t="str">
        <x:v>—</x:v>
      </x:c>
      <x:c r="U14" s="78" t="str">
        <x:v>Progressão da campanha</x:v>
      </x:c>
      <x:c r="V14" s="78" t="str">
        <x:v>S05</x:v>
      </x:c>
      <x:c r="W14" s="78" t="str">
        <x:v>Alta</x:v>
      </x:c>
      <x:c r="X14" s="78" t="str">
        <x:v>Confirmado</x:v>
      </x:c>
    </x:row>
    <x:row r="15">
      <x:c r="A15" s="74" t="str">
        <x:v>012</x:v>
      </x:c>
      <x:c r="B15" s="74" t="str">
        <x:v>Completed Chapter 5 - 1</x:v>
      </x:c>
      <x:c r="C15" s="74" t="str">
        <x:v>Bronze</x:v>
      </x:c>
      <x:c r="D15" s="74" t="str">
        <x:v>Jogo-base</x:v>
      </x:c>
      <x:c r="E15" s="74" t="str">
        <x:v>Complete Chapter 5 - 1 on any difficulty setting.</x:v>
      </x:c>
      <x:c r="F15" s="74" t="str">
        <x:v>História; automático; capítulo</x:v>
      </x:c>
      <x:c r="G15" s="74" t="str">
        <x:v>Não</x:v>
      </x:c>
      <x:c r="H15" s="74" t="str">
        <x:v>Não</x:v>
      </x:c>
      <x:c r="I15" s="74" t="str">
        <x:v>Opcional</x:v>
      </x:c>
      <x:c r="J15" s="74" t="str">
        <x:v>Não</x:v>
      </x:c>
      <x:c r="K15" s="74" t="str">
        <x:v>Campanha 1 — Normal</x:v>
      </x:c>
      <x:c r="L15" s="74" t="str">
        <x:v>Etapa 1 — Normal: campanha, emblemas e tesouros</x:v>
      </x:c>
      <x:c r="M15" s="74" t="str">
        <x:v>Fim do capítulo 5 - 1</x:v>
      </x:c>
      <x:c r="N15" s="74" t="str">
        <x:v>Concluir o capítulo</x:v>
      </x:c>
      <x:c r="O15" s="74" t="str">
        <x:v>Automático ao concluir o capítulo 5 - 1 em qualquer dificuldade.</x:v>
      </x:c>
      <x:c r="P15" s="74" t="str">
        <x:v>Em coop, entrar após o começo pode deixar o registro incompleto em alguns casos.</x:v>
      </x:c>
      <x:c r="Q15" s="74" t="str">
        <x:v>Inicie o capítulo do começo e permaneça até a tela de resultados.</x:v>
      </x:c>
      <x:c r="R15" s="74" t="str">
        <x:v>Repita apenas 5 - 1 via Chapter Select.</x:v>
      </x:c>
      <x:c r="S15" s="74" t="str">
        <x:v>Chapter Select</x:v>
      </x:c>
      <x:c r="T15" s="74" t="str">
        <x:v>—</x:v>
      </x:c>
      <x:c r="U15" s="74" t="str">
        <x:v>Progressão da campanha</x:v>
      </x:c>
      <x:c r="V15" s="74" t="str">
        <x:v>S05</x:v>
      </x:c>
      <x:c r="W15" s="74" t="str">
        <x:v>Alta</x:v>
      </x:c>
      <x:c r="X15" s="74" t="str">
        <x:v>Confirmado</x:v>
      </x:c>
    </x:row>
    <x:row r="16">
      <x:c r="A16" s="78" t="str">
        <x:v>013</x:v>
      </x:c>
      <x:c r="B16" s="78" t="str">
        <x:v>Completed Chapter 5 - 2</x:v>
      </x:c>
      <x:c r="C16" s="78" t="str">
        <x:v>Bronze</x:v>
      </x:c>
      <x:c r="D16" s="78" t="str">
        <x:v>Jogo-base</x:v>
      </x:c>
      <x:c r="E16" s="78" t="str">
        <x:v>Complete Chapter 5 - 2 on any difficulty setting.</x:v>
      </x:c>
      <x:c r="F16" s="78" t="str">
        <x:v>História; automático; capítulo</x:v>
      </x:c>
      <x:c r="G16" s="78" t="str">
        <x:v>Não</x:v>
      </x:c>
      <x:c r="H16" s="78" t="str">
        <x:v>Não</x:v>
      </x:c>
      <x:c r="I16" s="78" t="str">
        <x:v>Opcional</x:v>
      </x:c>
      <x:c r="J16" s="78" t="str">
        <x:v>Não</x:v>
      </x:c>
      <x:c r="K16" s="78" t="str">
        <x:v>Campanha 1 — Normal</x:v>
      </x:c>
      <x:c r="L16" s="78" t="str">
        <x:v>Etapa 1 — Normal: campanha, emblemas e tesouros</x:v>
      </x:c>
      <x:c r="M16" s="78" t="str">
        <x:v>Fim do capítulo 5 - 2</x:v>
      </x:c>
      <x:c r="N16" s="78" t="str">
        <x:v>Concluir o capítulo</x:v>
      </x:c>
      <x:c r="O16" s="78" t="str">
        <x:v>Automático ao concluir o capítulo 5 - 2 em qualquer dificuldade.</x:v>
      </x:c>
      <x:c r="P16" s="78" t="str">
        <x:v>Em coop, entrar após o começo pode deixar o registro incompleto em alguns casos.</x:v>
      </x:c>
      <x:c r="Q16" s="78" t="str">
        <x:v>Inicie o capítulo do começo e permaneça até a tela de resultados.</x:v>
      </x:c>
      <x:c r="R16" s="78" t="str">
        <x:v>Repita apenas 5 - 2 via Chapter Select.</x:v>
      </x:c>
      <x:c r="S16" s="78" t="str">
        <x:v>Chapter Select</x:v>
      </x:c>
      <x:c r="T16" s="78" t="str">
        <x:v>—</x:v>
      </x:c>
      <x:c r="U16" s="78" t="str">
        <x:v>Progressão da campanha</x:v>
      </x:c>
      <x:c r="V16" s="78" t="str">
        <x:v>S05</x:v>
      </x:c>
      <x:c r="W16" s="78" t="str">
        <x:v>Alta</x:v>
      </x:c>
      <x:c r="X16" s="78" t="str">
        <x:v>Confirmado</x:v>
      </x:c>
    </x:row>
    <x:row r="17">
      <x:c r="A17" s="74" t="str">
        <x:v>014</x:v>
      </x:c>
      <x:c r="B17" s="74" t="str">
        <x:v>Completed Chapter 5 - 3</x:v>
      </x:c>
      <x:c r="C17" s="74" t="str">
        <x:v>Bronze</x:v>
      </x:c>
      <x:c r="D17" s="74" t="str">
        <x:v>Jogo-base</x:v>
      </x:c>
      <x:c r="E17" s="74" t="str">
        <x:v>Complete Chapter 5 - 3 on any difficulty setting.</x:v>
      </x:c>
      <x:c r="F17" s="74" t="str">
        <x:v>História; automático; capítulo</x:v>
      </x:c>
      <x:c r="G17" s="74" t="str">
        <x:v>Não</x:v>
      </x:c>
      <x:c r="H17" s="74" t="str">
        <x:v>Não</x:v>
      </x:c>
      <x:c r="I17" s="74" t="str">
        <x:v>Opcional</x:v>
      </x:c>
      <x:c r="J17" s="74" t="str">
        <x:v>Não</x:v>
      </x:c>
      <x:c r="K17" s="74" t="str">
        <x:v>Campanha 1 — Normal</x:v>
      </x:c>
      <x:c r="L17" s="74" t="str">
        <x:v>Etapa 1 — Normal: campanha, emblemas e tesouros</x:v>
      </x:c>
      <x:c r="M17" s="74" t="str">
        <x:v>Fim do capítulo 5 - 3</x:v>
      </x:c>
      <x:c r="N17" s="74" t="str">
        <x:v>Concluir o capítulo</x:v>
      </x:c>
      <x:c r="O17" s="74" t="str">
        <x:v>Automático ao concluir o capítulo 5 - 3 em qualquer dificuldade.</x:v>
      </x:c>
      <x:c r="P17" s="74" t="str">
        <x:v>Em coop, entrar após o começo pode deixar o registro incompleto em alguns casos.</x:v>
      </x:c>
      <x:c r="Q17" s="74" t="str">
        <x:v>Inicie o capítulo do começo e permaneça até a tela de resultados.</x:v>
      </x:c>
      <x:c r="R17" s="74" t="str">
        <x:v>Repita apenas 5 - 3 via Chapter Select.</x:v>
      </x:c>
      <x:c r="S17" s="74" t="str">
        <x:v>Chapter Select</x:v>
      </x:c>
      <x:c r="T17" s="74" t="str">
        <x:v>—</x:v>
      </x:c>
      <x:c r="U17" s="74" t="str">
        <x:v>Progressão da campanha</x:v>
      </x:c>
      <x:c r="V17" s="74" t="str">
        <x:v>S05</x:v>
      </x:c>
      <x:c r="W17" s="74" t="str">
        <x:v>Alta</x:v>
      </x:c>
      <x:c r="X17" s="74" t="str">
        <x:v>Confirmado</x:v>
      </x:c>
    </x:row>
    <x:row r="18">
      <x:c r="A18" s="78" t="str">
        <x:v>015</x:v>
      </x:c>
      <x:c r="B18" s="78" t="str">
        <x:v>Completed Chapter 6 - 1</x:v>
      </x:c>
      <x:c r="C18" s="78" t="str">
        <x:v>Bronze</x:v>
      </x:c>
      <x:c r="D18" s="78" t="str">
        <x:v>Jogo-base</x:v>
      </x:c>
      <x:c r="E18" s="78" t="str">
        <x:v>Complete Chapter 6 - 1 on any difficulty setting.</x:v>
      </x:c>
      <x:c r="F18" s="78" t="str">
        <x:v>História; automático; capítulo</x:v>
      </x:c>
      <x:c r="G18" s="78" t="str">
        <x:v>Não</x:v>
      </x:c>
      <x:c r="H18" s="78" t="str">
        <x:v>Não</x:v>
      </x:c>
      <x:c r="I18" s="78" t="str">
        <x:v>Opcional</x:v>
      </x:c>
      <x:c r="J18" s="78" t="str">
        <x:v>Não</x:v>
      </x:c>
      <x:c r="K18" s="78" t="str">
        <x:v>Campanha 1 — Normal</x:v>
      </x:c>
      <x:c r="L18" s="78" t="str">
        <x:v>Etapa 1 — Normal: campanha, emblemas e tesouros</x:v>
      </x:c>
      <x:c r="M18" s="78" t="str">
        <x:v>Fim do capítulo 6 - 1</x:v>
      </x:c>
      <x:c r="N18" s="78" t="str">
        <x:v>Concluir o capítulo</x:v>
      </x:c>
      <x:c r="O18" s="78" t="str">
        <x:v>Automático ao concluir o capítulo 6 - 1 em qualquer dificuldade.</x:v>
      </x:c>
      <x:c r="P18" s="78" t="str">
        <x:v>Em coop, entrar após o começo pode deixar o registro incompleto em alguns casos.</x:v>
      </x:c>
      <x:c r="Q18" s="78" t="str">
        <x:v>Inicie o capítulo do começo e permaneça até a tela de resultados.</x:v>
      </x:c>
      <x:c r="R18" s="78" t="str">
        <x:v>Repita apenas 6 - 1 via Chapter Select.</x:v>
      </x:c>
      <x:c r="S18" s="78" t="str">
        <x:v>Chapter Select</x:v>
      </x:c>
      <x:c r="T18" s="78" t="str">
        <x:v>—</x:v>
      </x:c>
      <x:c r="U18" s="78" t="str">
        <x:v>Progressão da campanha</x:v>
      </x:c>
      <x:c r="V18" s="78" t="str">
        <x:v>S05</x:v>
      </x:c>
      <x:c r="W18" s="78" t="str">
        <x:v>Alta</x:v>
      </x:c>
      <x:c r="X18" s="78" t="str">
        <x:v>Confirmado</x:v>
      </x:c>
    </x:row>
    <x:row r="19">
      <x:c r="A19" s="74" t="str">
        <x:v>016</x:v>
      </x:c>
      <x:c r="B19" s="74" t="str">
        <x:v>Completed Chapter 6 - 2</x:v>
      </x:c>
      <x:c r="C19" s="74" t="str">
        <x:v>Bronze</x:v>
      </x:c>
      <x:c r="D19" s="74" t="str">
        <x:v>Jogo-base</x:v>
      </x:c>
      <x:c r="E19" s="74" t="str">
        <x:v>Complete Chapter 6 - 2 on any difficulty setting.</x:v>
      </x:c>
      <x:c r="F19" s="74" t="str">
        <x:v>História; automático; capítulo</x:v>
      </x:c>
      <x:c r="G19" s="74" t="str">
        <x:v>Não</x:v>
      </x:c>
      <x:c r="H19" s="74" t="str">
        <x:v>Não</x:v>
      </x:c>
      <x:c r="I19" s="74" t="str">
        <x:v>Opcional</x:v>
      </x:c>
      <x:c r="J19" s="74" t="str">
        <x:v>Não</x:v>
      </x:c>
      <x:c r="K19" s="74" t="str">
        <x:v>Campanha 1 — Normal</x:v>
      </x:c>
      <x:c r="L19" s="74" t="str">
        <x:v>Etapa 1 — Normal: campanha, emblemas e tesouros</x:v>
      </x:c>
      <x:c r="M19" s="74" t="str">
        <x:v>Fim do capítulo 6 - 2</x:v>
      </x:c>
      <x:c r="N19" s="74" t="str">
        <x:v>Concluir o capítulo</x:v>
      </x:c>
      <x:c r="O19" s="74" t="str">
        <x:v>Automático ao concluir o capítulo 6 - 2 em qualquer dificuldade.</x:v>
      </x:c>
      <x:c r="P19" s="74" t="str">
        <x:v>Em coop, entrar após o começo pode deixar o registro incompleto em alguns casos.</x:v>
      </x:c>
      <x:c r="Q19" s="74" t="str">
        <x:v>Inicie o capítulo do começo e permaneça até a tela de resultados.</x:v>
      </x:c>
      <x:c r="R19" s="74" t="str">
        <x:v>Repita apenas 6 - 2 via Chapter Select.</x:v>
      </x:c>
      <x:c r="S19" s="74" t="str">
        <x:v>Chapter Select</x:v>
      </x:c>
      <x:c r="T19" s="74" t="str">
        <x:v>—</x:v>
      </x:c>
      <x:c r="U19" s="74" t="str">
        <x:v>Progressão da campanha</x:v>
      </x:c>
      <x:c r="V19" s="74" t="str">
        <x:v>S05</x:v>
      </x:c>
      <x:c r="W19" s="74" t="str">
        <x:v>Alta</x:v>
      </x:c>
      <x:c r="X19" s="74" t="str">
        <x:v>Confirmado</x:v>
      </x:c>
    </x:row>
    <x:row r="20">
      <x:c r="A20" s="78" t="str">
        <x:v>017</x:v>
      </x:c>
      <x:c r="B20" s="78" t="str">
        <x:v>Completed Chapter 6 - 3</x:v>
      </x:c>
      <x:c r="C20" s="78" t="str">
        <x:v>Bronze</x:v>
      </x:c>
      <x:c r="D20" s="78" t="str">
        <x:v>Jogo-base</x:v>
      </x:c>
      <x:c r="E20" s="78" t="str">
        <x:v>Complete Chapter 6 - 3 on any difficulty setting.</x:v>
      </x:c>
      <x:c r="F20" s="78" t="str">
        <x:v>História; automático; capítulo</x:v>
      </x:c>
      <x:c r="G20" s="78" t="str">
        <x:v>Não</x:v>
      </x:c>
      <x:c r="H20" s="78" t="str">
        <x:v>Não</x:v>
      </x:c>
      <x:c r="I20" s="78" t="str">
        <x:v>Opcional</x:v>
      </x:c>
      <x:c r="J20" s="78" t="str">
        <x:v>Não</x:v>
      </x:c>
      <x:c r="K20" s="78" t="str">
        <x:v>Campanha 1 — Normal</x:v>
      </x:c>
      <x:c r="L20" s="78" t="str">
        <x:v>Etapa 1 — Normal: campanha, emblemas e tesouros</x:v>
      </x:c>
      <x:c r="M20" s="78" t="str">
        <x:v>Fim do capítulo 6 - 3</x:v>
      </x:c>
      <x:c r="N20" s="78" t="str">
        <x:v>Concluir o capítulo</x:v>
      </x:c>
      <x:c r="O20" s="78" t="str">
        <x:v>Automático ao concluir o capítulo 6 - 3 em qualquer dificuldade.</x:v>
      </x:c>
      <x:c r="P20" s="78" t="str">
        <x:v>Em coop, entrar após o começo pode deixar o registro incompleto em alguns casos.</x:v>
      </x:c>
      <x:c r="Q20" s="78" t="str">
        <x:v>Inicie o capítulo do começo e permaneça até a tela de resultados.</x:v>
      </x:c>
      <x:c r="R20" s="78" t="str">
        <x:v>Repita apenas 6 - 3 via Chapter Select.</x:v>
      </x:c>
      <x:c r="S20" s="78" t="str">
        <x:v>Chapter Select</x:v>
      </x:c>
      <x:c r="T20" s="78" t="str">
        <x:v>—</x:v>
      </x:c>
      <x:c r="U20" s="78" t="str">
        <x:v>Progressão da campanha</x:v>
      </x:c>
      <x:c r="V20" s="78" t="str">
        <x:v>S05</x:v>
      </x:c>
      <x:c r="W20" s="78" t="str">
        <x:v>Alta</x:v>
      </x:c>
      <x:c r="X20" s="78" t="str">
        <x:v>Confirmado</x:v>
      </x:c>
    </x:row>
    <x:row r="21">
      <x:c r="A21" s="74" t="str">
        <x:v>018</x:v>
      </x:c>
      <x:c r="B21" s="74" t="str">
        <x:v>Recruit</x:v>
      </x:c>
      <x:c r="C21" s="74" t="str">
        <x:v>Bronze</x:v>
      </x:c>
      <x:c r="D21" s="74" t="str">
        <x:v>Jogo-base</x:v>
      </x:c>
      <x:c r="E21" s="74" t="str">
        <x:v>Complete all chapters on Amateur.</x:v>
      </x:c>
      <x:c r="F21" s="74" t="str">
        <x:v>Dificuldade; campanha</x:v>
      </x:c>
      <x:c r="G21" s="74" t="str">
        <x:v>Não</x:v>
      </x:c>
      <x:c r="H21" s="74" t="str">
        <x:v>Não</x:v>
      </x:c>
      <x:c r="I21" s="74" t="str">
        <x:v>Opcional</x:v>
      </x:c>
      <x:c r="J21" s="74" t="str">
        <x:v>Não</x:v>
      </x:c>
      <x:c r="K21" s="74" t="str">
        <x:v>Campanha 2 — Amateur / Chapter Select</x:v>
      </x:c>
      <x:c r="L21" s="74" t="str">
        <x:v>Etapa 2 — Amateur: rank S, sub-5h e limpeza base</x:v>
      </x:c>
      <x:c r="M21" s="74" t="str">
        <x:v>Após registrar os 16 capítulos em Amateur ou superior</x:v>
      </x:c>
      <x:c r="N21" s="74" t="str">
        <x:v>16 capítulos concluídos</x:v>
      </x:c>
      <x:c r="O21" s="74" t="str">
        <x:v>Conclua todos os capítulos em Amateur ou dificuldade superior. O progresso por capítulo fica registrado e pode ser completado via Chapter Select.</x:v>
      </x:c>
      <x:c r="P21" s="74" t="str">
        <x:v>Um capítulo ficar sem registro por entrada no meio de sessão coop.</x:v>
      </x:c>
      <x:c r="Q21" s="74" t="str">
        <x:v>Inicie cada capítulo do começo e confira a tela de resultados.</x:v>
      </x:c>
      <x:c r="R21" s="74" t="str">
        <x:v>Repita apenas o capítulo ausente.</x:v>
      </x:c>
      <x:c r="S21" s="74" t="str">
        <x:v>Chapter Select</x:v>
      </x:c>
      <x:c r="T21" s="74" t="str">
        <x:v>—</x:v>
      </x:c>
      <x:c r="U21" s="74" t="str">
        <x:v>Registros de dificuldade</x:v>
      </x:c>
      <x:c r="V21" s="74" t="str">
        <x:v>S05; S06</x:v>
      </x:c>
      <x:c r="W21" s="74" t="str">
        <x:v>Alta</x:v>
      </x:c>
      <x:c r="X21" s="74" t="str">
        <x:v>Confirmado</x:v>
      </x:c>
    </x:row>
    <x:row r="22">
      <x:c r="A22" s="78" t="str">
        <x:v>019</x:v>
      </x:c>
      <x:c r="B22" s="78" t="str">
        <x:v>Soldier</x:v>
      </x:c>
      <x:c r="C22" s="78" t="str">
        <x:v>Bronze</x:v>
      </x:c>
      <x:c r="D22" s="78" t="str">
        <x:v>Jogo-base</x:v>
      </x:c>
      <x:c r="E22" s="78" t="str">
        <x:v>Complete all chapters on Normal.</x:v>
      </x:c>
      <x:c r="F22" s="78" t="str">
        <x:v>Dificuldade; campanha</x:v>
      </x:c>
      <x:c r="G22" s="78" t="str">
        <x:v>Não</x:v>
      </x:c>
      <x:c r="H22" s="78" t="str">
        <x:v>Não</x:v>
      </x:c>
      <x:c r="I22" s="78" t="str">
        <x:v>Opcional</x:v>
      </x:c>
      <x:c r="J22" s="78" t="str">
        <x:v>Não</x:v>
      </x:c>
      <x:c r="K22" s="78" t="str">
        <x:v>Campanha 1 — Normal</x:v>
      </x:c>
      <x:c r="L22" s="78" t="str">
        <x:v>Etapa 1 — Normal: campanha, emblemas e tesouros</x:v>
      </x:c>
      <x:c r="M22" s="78" t="str">
        <x:v>Após 6-3 no Normal</x:v>
      </x:c>
      <x:c r="N22" s="78" t="str">
        <x:v>16 capítulos concluídos no Normal ou superior</x:v>
      </x:c>
      <x:c r="O22" s="78" t="str">
        <x:v>Conclua os 16 capítulos no Normal. Dificuldades superiores também satisfazem o requisito.</x:v>
      </x:c>
      <x:c r="P22" s="78" t="str">
        <x:v>Capítulo sem crédito em coop ao entrar após o início.</x:v>
      </x:c>
      <x:c r="Q22" s="78" t="str">
        <x:v>Comece cada capítulo do início e confirme o resultado.</x:v>
      </x:c>
      <x:c r="R22" s="78" t="str">
        <x:v>Repita o capítulo faltante via Chapter Select.</x:v>
      </x:c>
      <x:c r="S22" s="78" t="str">
        <x:v>Chapter Select</x:v>
      </x:c>
      <x:c r="T22" s="78" t="str">
        <x:v>—</x:v>
      </x:c>
      <x:c r="U22" s="78" t="str">
        <x:v>Registros de dificuldade</x:v>
      </x:c>
      <x:c r="V22" s="78" t="str">
        <x:v>S05; S06</x:v>
      </x:c>
      <x:c r="W22" s="78" t="str">
        <x:v>Alta</x:v>
      </x:c>
      <x:c r="X22" s="78" t="str">
        <x:v>Confirmado</x:v>
      </x:c>
    </x:row>
    <x:row r="23">
      <x:c r="A23" s="74" t="str">
        <x:v>020</x:v>
      </x:c>
      <x:c r="B23" s="74" t="str">
        <x:v>Veteran</x:v>
      </x:c>
      <x:c r="C23" s="74" t="str">
        <x:v>Prata</x:v>
      </x:c>
      <x:c r="D23" s="74" t="str">
        <x:v>Jogo-base</x:v>
      </x:c>
      <x:c r="E23" s="74" t="str">
        <x:v>Complete all chapters on Veteran.</x:v>
      </x:c>
      <x:c r="F23" s="74" t="str">
        <x:v>Dificuldade; campanha</x:v>
      </x:c>
      <x:c r="G23" s="74" t="str">
        <x:v>Não</x:v>
      </x:c>
      <x:c r="H23" s="74" t="str">
        <x:v>Não</x:v>
      </x:c>
      <x:c r="I23" s="74" t="str">
        <x:v>Opcional</x:v>
      </x:c>
      <x:c r="J23" s="74" t="str">
        <x:v>Não</x:v>
      </x:c>
      <x:c r="K23" s="74" t="str">
        <x:v>Campanha 3 — Veteran</x:v>
      </x:c>
      <x:c r="L23" s="74" t="str">
        <x:v>Etapa 3 — Veteran</x:v>
      </x:c>
      <x:c r="M23" s="74" t="str">
        <x:v>Após 6-3 no Veteran</x:v>
      </x:c>
      <x:c r="N23" s="74" t="str">
        <x:v>Nenhum; Veteran está disponível</x:v>
      </x:c>
      <x:c r="O23" s="74" t="str">
        <x:v>Conclua os 16 capítulos no Veteran. Use equipamento acumulado e munição infinita/Infinite Rocket se já desbloqueadas.</x:v>
      </x:c>
      <x:c r="P23" s="74" t="str">
        <x:v>Crédito incompleto por capítulo em coop.</x:v>
      </x:c>
      <x:c r="Q23" s="74" t="str">
        <x:v>Hospede ou entre antes de iniciar; verifique 16/16 no Chapter Select.</x:v>
      </x:c>
      <x:c r="R23" s="74" t="str">
        <x:v>Repita somente o capítulo sem medalha Veteran.</x:v>
      </x:c>
      <x:c r="S23" s="74" t="str">
        <x:v>Chapter Select</x:v>
      </x:c>
      <x:c r="T23" s="74" t="str">
        <x:v>—</x:v>
      </x:c>
      <x:c r="U23" s="74" t="str">
        <x:v>Desbloqueia Professional; acumula Recruit/Soldier</x:v>
      </x:c>
      <x:c r="V23" s="74" t="str">
        <x:v>S05; S06</x:v>
      </x:c>
      <x:c r="W23" s="74" t="str">
        <x:v>Alta</x:v>
      </x:c>
      <x:c r="X23" s="74" t="str">
        <x:v>Confirmado</x:v>
      </x:c>
    </x:row>
    <x:row r="24">
      <x:c r="A24" s="78" t="str">
        <x:v>021</x:v>
      </x:c>
      <x:c r="B24" s="78" t="str">
        <x:v>War Hero</x:v>
      </x:c>
      <x:c r="C24" s="78" t="str">
        <x:v>Ouro</x:v>
      </x:c>
      <x:c r="D24" s="78" t="str">
        <x:v>Jogo-base</x:v>
      </x:c>
      <x:c r="E24" s="78" t="str">
        <x:v>Complete all chapters on Professional.</x:v>
      </x:c>
      <x:c r="F24" s="78" t="str">
        <x:v>Dificuldade; campanha; coop opcional</x:v>
      </x:c>
      <x:c r="G24" s="78" t="str">
        <x:v>Não</x:v>
      </x:c>
      <x:c r="H24" s="78" t="str">
        <x:v>Não</x:v>
      </x:c>
      <x:c r="I24" s="78" t="str">
        <x:v>Opcional</x:v>
      </x:c>
      <x:c r="J24" s="78" t="str">
        <x:v>Não</x:v>
      </x:c>
      <x:c r="K24" s="78" t="str">
        <x:v>Campanha 4 — Professional / auditoria</x:v>
      </x:c>
      <x:c r="L24" s="78" t="str">
        <x:v>Etapa 4 — Professional e auditoria da platina</x:v>
      </x:c>
      <x:c r="M24" s="78" t="str">
        <x:v>Após registrar 16/16 em Professional</x:v>
      </x:c>
      <x:c r="N24" s="78" t="str">
        <x:v>Concluir todos os capítulos em Veteran para liberar Professional</x:v>
      </x:c>
      <x:c r="O24" s="78" t="str">
        <x:v>Conclua cada capítulo em Professional; a ordem é livre e Chapter Select conta. Use Infinite Rocket ou arma infinita e um parceiro humano nos gargalos.</x:v>
      </x:c>
      <x:c r="P24" s="78" t="str">
        <x:v>Entrar no meio de capítulo e não receber crédito; IA morrer quase instantaneamente.</x:v>
      </x:c>
      <x:c r="Q24" s="78" t="str">
        <x:v>Inicie do começo, confirme o ícone Professional em cada capítulo e priorize coop.</x:v>
      </x:c>
      <x:c r="R24" s="78" t="str">
        <x:v>Repita apenas capítulos sem registro.</x:v>
      </x:c>
      <x:c r="S24" s="78" t="str">
        <x:v>Chapter Select</x:v>
      </x:c>
      <x:c r="T24" s="78" t="str">
        <x:v>—</x:v>
      </x:c>
      <x:c r="U24" s="78" t="str">
        <x:v>Veteran; arsenal/infinito recomendado</x:v>
      </x:c>
      <x:c r="V24" s="78" t="str">
        <x:v>S05; S06</x:v>
      </x:c>
      <x:c r="W24" s="78" t="str">
        <x:v>Alta</x:v>
      </x:c>
      <x:c r="X24" s="78" t="str">
        <x:v>Confirmado</x:v>
      </x:c>
    </x:row>
    <x:row r="25">
      <x:c r="A25" s="74" t="str">
        <x:v>022</x:v>
      </x:c>
      <x:c r="B25" s="74" t="str">
        <x:v>Egg Hunt</x:v>
      </x:c>
      <x:c r="C25" s="74" t="str">
        <x:v>Bronze</x:v>
      </x:c>
      <x:c r="D25" s="74" t="str">
        <x:v>Jogo-base</x:v>
      </x:c>
      <x:c r="E25" s="74" t="str">
        <x:v>Find all 4 types of eggs.</x:v>
      </x:c>
      <x:c r="F25" s="74" t="str">
        <x:v>Coletável; inventário</x:v>
      </x:c>
      <x:c r="G25" s="74" t="str">
        <x:v>Não</x:v>
      </x:c>
      <x:c r="H25" s="74" t="str">
        <x:v>Não</x:v>
      </x:c>
      <x:c r="I25" s="74" t="str">
        <x:v>Opcional</x:v>
      </x:c>
      <x:c r="J25" s="74" t="str">
        <x:v>Inventário simultâneo</x:v>
      </x:c>
      <x:c r="K25" s="74" t="str">
        <x:v>Campanha 2 — Amateur / Chapter Select</x:v>
      </x:c>
      <x:c r="L25" s="74" t="str">
        <x:v>Etapa 2 — Amateur: rank S, sub-5h e limpeza base</x:v>
      </x:c>
      <x:c r="M25" s="74" t="str">
        <x:v>Após obter White, Brown, Gold e Rotten Egg</x:v>
      </x:c>
      <x:c r="N25" s="74" t="str">
        <x:v>Quatro tipos de ovo</x:v>
      </x:c>
      <x:c r="O25" s="74" t="str">
        <x:v>Mantenha simultaneamente no inventário um White Egg, Brown Egg, Gold Egg e Rotten Egg. O troféu dispara quando o quarto tipo é incorporado.</x:v>
      </x:c>
      <x:c r="P25" s="74" t="str">
        <x:v>Vender/usar o único exemplar, sobretudo Rotten ou Gold.</x:v>
      </x:c>
      <x:c r="Q25" s="74" t="str">
        <x:v>Reserve um de cada; obtenha um Rotten extra para Egg on Your Face.</x:v>
      </x:c>
      <x:c r="R25" s="74" t="str">
        <x:v>Refaça áreas com galinhas ou farms de Majini para recuperar o tipo faltante.</x:v>
      </x:c>
      <x:c r="S25" s="74" t="str">
        <x:v>Sim</x:v>
      </x:c>
      <x:c r="T25" s="74" t="str">
        <x:v>—</x:v>
      </x:c>
      <x:c r="U25" s="74" t="str">
        <x:v>Egg on Your Face</x:v>
      </x:c>
      <x:c r="V25" s="74" t="str">
        <x:v>S05; S06</x:v>
      </x:c>
      <x:c r="W25" s="74" t="str">
        <x:v>Alta</x:v>
      </x:c>
      <x:c r="X25" s="74" t="str">
        <x:v>Confirmado</x:v>
      </x:c>
    </x:row>
    <x:row r="26">
      <x:c r="A26" s="78" t="str">
        <x:v>023</x:v>
      </x:c>
      <x:c r="B26" s="78" t="str">
        <x:v>All Dressed Up</x:v>
      </x:c>
      <x:c r="C26" s="78" t="str">
        <x:v>Prata</x:v>
      </x:c>
      <x:c r="D26" s="78" t="str">
        <x:v>Jogo-base</x:v>
      </x:c>
      <x:c r="E26" s="78" t="str">
        <x:v>Purchase all available alternative costumes in Bonus Features.</x:v>
      </x:c>
      <x:c r="F26" s="78" t="str">
        <x:v>Inventário; Bonus Features; coletável</x:v>
      </x:c>
      <x:c r="G26" s="78" t="str">
        <x:v>Não</x:v>
      </x:c>
      <x:c r="H26" s="78" t="str">
        <x:v>Não</x:v>
      </x:c>
      <x:c r="I26" s="78" t="str">
        <x:v>Opcional</x:v>
      </x:c>
      <x:c r="J26" s="78" t="str">
        <x:v>Não</x:v>
      </x:c>
      <x:c r="K26" s="78" t="str">
        <x:v>Campanha 2 — Amateur / Chapter Select</x:v>
      </x:c>
      <x:c r="L26" s="78" t="str">
        <x:v>Etapa 2 — Amateur: rank S, sub-5h e limpeza base</x:v>
      </x:c>
      <x:c r="M26" s="78" t="str">
        <x:v>Após concluir a campanha e obter 30 emblemas</x:v>
      </x:c>
      <x:c r="N26" s="78" t="str">
        <x:v>Campanha concluída; 25/30 emblemas para trajes finais</x:v>
      </x:c>
      <x:c r="O26" s="78" t="str">
        <x:v>Em Bonus Features, resgate os quatro trajes originais exigidos: Chris Safari, Chris S.T.A.R.S., Sheva Clubbin' e Sheva Tribal. Trajes DLC incluídos não substituem esses quatro.</x:v>
      </x:c>
      <x:c r="P26" s="78" t="str">
        <x:v>Contar os quatro trajes DLC como requisito.</x:v>
      </x:c>
      <x:c r="Q26" s="78" t="str">
        <x:v>Confirme os quatro nomes originais no menu.</x:v>
      </x:c>
      <x:c r="R26" s="78" t="str">
        <x:v>Colete os emblemas faltantes e resgate o traje bloqueado.</x:v>
      </x:c>
      <x:c r="S26" s="78" t="str">
        <x:v>Sim</x:v>
      </x:c>
      <x:c r="T26" s="78" t="str">
        <x:v>—</x:v>
      </x:c>
      <x:c r="U26" s="78" t="str">
        <x:v>Badge of Honor; conclusão da campanha</x:v>
      </x:c>
      <x:c r="V26" s="78" t="str">
        <x:v>S06; S11</x:v>
      </x:c>
      <x:c r="W26" s="78" t="str">
        <x:v>Alta</x:v>
      </x:c>
      <x:c r="X26" s="78" t="str">
        <x:v>Confirmado</x:v>
      </x:c>
    </x:row>
    <x:row r="27">
      <x:c r="A27" s="74" t="str">
        <x:v>024</x:v>
      </x:c>
      <x:c r="B27" s="74" t="str">
        <x:v>Stockpile</x:v>
      </x:c>
      <x:c r="C27" s="74" t="str">
        <x:v>Prata</x:v>
      </x:c>
      <x:c r="D27" s="74" t="str">
        <x:v>Jogo-base</x:v>
      </x:c>
      <x:c r="E27" s="74" t="str">
        <x:v>Obtain all available weapons.</x:v>
      </x:c>
      <x:c r="F27" s="74" t="str">
        <x:v>Armas; inventário; economia</x:v>
      </x:c>
      <x:c r="G27" s="74" t="str">
        <x:v>Não</x:v>
      </x:c>
      <x:c r="H27" s="74" t="str">
        <x:v>Não</x:v>
      </x:c>
      <x:c r="I27" s="74" t="str">
        <x:v>Opcional</x:v>
      </x:c>
      <x:c r="J27" s="74" t="str">
        <x:v>Inventário simultâneo</x:v>
      </x:c>
      <x:c r="K27" s="74" t="str">
        <x:v>Campanha 2 — Amateur / Chapter Select</x:v>
      </x:c>
      <x:c r="L27" s="74" t="str">
        <x:v>Etapa 2 — Amateur: rank S, sub-5h e limpeza base</x:v>
      </x:c>
      <x:c r="M27" s="74" t="str">
        <x:v>Depois de liberar as armas especiais</x:v>
      </x:c>
      <x:c r="N27" s="74" t="str">
        <x:v>27 armas/itens simultaneamente no inventário</x:v>
      </x:c>
      <x:c r="O27" s="74" t="str">
        <x:v>Possua ao mesmo tempo os 27 itens da aba Stockpile_27. Inclui 20 armas de fogo, Grenade Launcher, Rocket Launcher, Stun Rod, Proximity Bomb e três granadas.</x:v>
      </x:c>
      <x:c r="P27" s="74" t="str">
        <x:v>Vender uma arma-base ou especial antes da checagem.</x:v>
      </x:c>
      <x:c r="Q27" s="74" t="str">
        <x:v>Não venda armas até o troféu; use a checklist de 27 itens.</x:v>
      </x:c>
      <x:c r="R27" s="74" t="str">
        <x:v>Recompre itens de loja; para especiais, refaça a cadeia de upgrade/desbloqueio.</x:v>
      </x:c>
      <x:c r="S27" s="74" t="str">
        <x:v>Sim</x:v>
      </x:c>
      <x:c r="T27" s="74" t="str">
        <x:v>Backup externo opcional antes de gastos</x:v>
      </x:c>
      <x:c r="U27" s="74" t="str">
        <x:v>Take It to the Max; armas especiais</x:v>
      </x:c>
      <x:c r="V27" s="74" t="str">
        <x:v>S05; S06</x:v>
      </x:c>
      <x:c r="W27" s="74" t="str">
        <x:v>Alta</x:v>
      </x:c>
      <x:c r="X27" s="74" t="str">
        <x:v>Confirmado</x:v>
      </x:c>
    </x:row>
    <x:row r="28">
      <x:c r="A28" s="78" t="str">
        <x:v>025</x:v>
      </x:c>
      <x:c r="B28" s="78" t="str">
        <x:v>Take It to the Max</x:v>
      </x:c>
      <x:c r="C28" s="78" t="str">
        <x:v>Prata</x:v>
      </x:c>
      <x:c r="D28" s="78" t="str">
        <x:v>Jogo-base</x:v>
      </x:c>
      <x:c r="E28" s="78" t="str">
        <x:v>Completely upgrade all weapons.</x:v>
      </x:c>
      <x:c r="F28" s="78" t="str">
        <x:v>Upgrades; economia; farm</x:v>
      </x:c>
      <x:c r="G28" s="78" t="str">
        <x:v>Não</x:v>
      </x:c>
      <x:c r="H28" s="78" t="str">
        <x:v>Não</x:v>
      </x:c>
      <x:c r="I28" s="78" t="str">
        <x:v>Opcional</x:v>
      </x:c>
      <x:c r="J28" s="78" t="str">
        <x:v>Não</x:v>
      </x:c>
      <x:c r="K28" s="78" t="str">
        <x:v>Campanha 2 — Amateur / Chapter Select</x:v>
      </x:c>
      <x:c r="L28" s="78" t="str">
        <x:v>Etapa 2 — Amateur: rank S, sub-5h e limpeza base</x:v>
      </x:c>
      <x:c r="M28" s="78" t="str">
        <x:v>Pós-jogo, após concentrar o farm de dinheiro</x:v>
      </x:c>
      <x:c r="N28" s="78" t="str">
        <x:v>18 armas aprimoráveis</x:v>
      </x:c>
      <x:c r="O28" s="78" t="str">
        <x:v>Aprimore completamente as 18 armas da aba Upgrades_18. Rocket Launcher, Grenade Launcher, Stun Rod, Gatling Gun e Longbow não possuem upgrades e não entram.</x:v>
      </x:c>
      <x:c r="P28" s="78" t="str">
        <x:v>Gastar dinheiro em compras não essenciais e aumentar o farm.</x:v>
      </x:c>
      <x:c r="Q28" s="78" t="str">
        <x:v>Priorize as 18 armas; use backup externo antes de grandes gastos apenas se quiser testar compras.</x:v>
      </x:c>
      <x:c r="R28" s="78" t="str">
        <x:v>Farm de dinheiro/tesouros via Chapter Select; progresso de upgrade permanece.</x:v>
      </x:c>
      <x:c r="S28" s="78" t="str">
        <x:v>Sim</x:v>
      </x:c>
      <x:c r="T28" s="78" t="str">
        <x:v>Backup externo opcional antes de gastos</x:v>
      </x:c>
      <x:c r="U28" s="78" t="str">
        <x:v>Desbloqueia M93R/Hydra/S&amp;W M500; Gatling/Longbow dependem de armas-base maximizadas</x:v>
      </x:c>
      <x:c r="V28" s="78" t="str">
        <x:v>S05; S06</x:v>
      </x:c>
      <x:c r="W28" s="78" t="str">
        <x:v>Alta</x:v>
      </x:c>
      <x:c r="X28" s="78" t="str">
        <x:v>Confirmado</x:v>
      </x:c>
    </x:row>
    <x:row r="29">
      <x:c r="A29" s="74" t="str">
        <x:v>026</x:v>
      </x:c>
      <x:c r="B29" s="74" t="str">
        <x:v>They Belong in a Museum</x:v>
      </x:c>
      <x:c r="C29" s="74" t="str">
        <x:v>Prata</x:v>
      </x:c>
      <x:c r="D29" s="74" t="str">
        <x:v>Jogo-base</x:v>
      </x:c>
      <x:c r="E29" s="74" t="str">
        <x:v>Obtain all treasures in the game.</x:v>
      </x:c>
      <x:c r="F29" s="74" t="str">
        <x:v>Coletável; tesouros; economia</x:v>
      </x:c>
      <x:c r="G29" s="74" t="str">
        <x:v>Não</x:v>
      </x:c>
      <x:c r="H29" s="74" t="str">
        <x:v>Não</x:v>
      </x:c>
      <x:c r="I29" s="74" t="str">
        <x:v>Opcional</x:v>
      </x:c>
      <x:c r="J29" s="74" t="str">
        <x:v>Não</x:v>
      </x:c>
      <x:c r="K29" s="74" t="str">
        <x:v>Campanha 1 — Normal</x:v>
      </x:c>
      <x:c r="L29" s="74" t="str">
        <x:v>Etapa 1 — Normal: campanha, emblemas e tesouros</x:v>
      </x:c>
      <x:c r="M29" s="74" t="str">
        <x:v>Ao registrar o 50º tipo distinto</x:v>
      </x:c>
      <x:c r="N29" s="74" t="str">
        <x:v>50 tipos distintos de tesouro</x:v>
      </x:c>
      <x:c r="O29" s="74" t="str">
        <x:v>Registre uma vez cada um dos 50 tipos da aba Tesouros_50. O histórico é cumulativo; vender depois da primeira obtenção não apaga o registro.</x:v>
      </x:c>
      <x:c r="P29" s="74" t="str">
        <x:v>Confundir Gold (Small/Large) com tesouro; esquecer Heart of Africa.</x:v>
      </x:c>
      <x:c r="Q29" s="74" t="str">
        <x:v>Marque a checklist por tipo e faça Bad Blood antes de recolher Heart of Africa.</x:v>
      </x:c>
      <x:c r="R29" s="74" t="str">
        <x:v>Use Chapter Select no capítulo do tesouro faltante.</x:v>
      </x:c>
      <x:c r="S29" s="74" t="str">
        <x:v>Chapter Select</x:v>
      </x:c>
      <x:c r="T29" s="74" t="str">
        <x:v>—</x:v>
      </x:c>
      <x:c r="U29" s="74" t="str">
        <x:v>Bad Blood para Heart of Africa</x:v>
      </x:c>
      <x:c r="V29" s="74" t="str">
        <x:v>S05; S06</x:v>
      </x:c>
      <x:c r="W29" s="74" t="str">
        <x:v>Alta</x:v>
      </x:c>
      <x:c r="X29" s="74" t="str">
        <x:v>Confirmado</x:v>
      </x:c>
    </x:row>
    <x:row r="30">
      <x:c r="A30" s="78" t="str">
        <x:v>027</x:v>
      </x:c>
      <x:c r="B30" s="78" t="str">
        <x:v>Badge of Honor</x:v>
      </x:c>
      <x:c r="C30" s="78" t="str">
        <x:v>Prata</x:v>
      </x:c>
      <x:c r="D30" s="78" t="str">
        <x:v>Jogo-base</x:v>
      </x:c>
      <x:c r="E30" s="78" t="str">
        <x:v>Find all the BSAA emblems.</x:v>
      </x:c>
      <x:c r="F30" s="78" t="str">
        <x:v>Coletável; capítulo</x:v>
      </x:c>
      <x:c r="G30" s="78" t="str">
        <x:v>Não</x:v>
      </x:c>
      <x:c r="H30" s="78" t="str">
        <x:v>Não</x:v>
      </x:c>
      <x:c r="I30" s="78" t="str">
        <x:v>Opcional</x:v>
      </x:c>
      <x:c r="J30" s="78" t="str">
        <x:v>Não</x:v>
      </x:c>
      <x:c r="K30" s="78" t="str">
        <x:v>Campanha 1 — Normal</x:v>
      </x:c>
      <x:c r="L30" s="78" t="str">
        <x:v>Etapa 1 — Normal: campanha, emblemas e tesouros</x:v>
      </x:c>
      <x:c r="M30" s="78" t="str">
        <x:v>Capítulos 1-2 a 6-1</x:v>
      </x:c>
      <x:c r="N30" s="78" t="str">
        <x:v>30 BSAA Emblems</x:v>
      </x:c>
      <x:c r="O30" s="78" t="str">
        <x:v>Destrua os 30 emblemas usando a aba BSAA_30. O registro é global e persiste ao sair do capítulo após checkpoint/resultado.</x:v>
      </x:c>
      <x:c r="P30" s="78" t="str">
        <x:v>Sair antes do registro/autosave ou pular segmento sem retorno.</x:v>
      </x:c>
      <x:c r="Q30" s="78" t="str">
        <x:v>Avance até o próximo checkpoint quando necessário e marque o item.</x:v>
      </x:c>
      <x:c r="R30" s="78" t="str">
        <x:v>Repita somente o capítulo correspondente via Chapter Select.</x:v>
      </x:c>
      <x:c r="S30" s="78" t="str">
        <x:v>Chapter Select</x:v>
      </x:c>
      <x:c r="T30" s="78" t="str">
        <x:v>—</x:v>
      </x:c>
      <x:c r="U30" s="78" t="str">
        <x:v>All Dressed Up; figuras</x:v>
      </x:c>
      <x:c r="V30" s="78" t="str">
        <x:v>S05; S10</x:v>
      </x:c>
      <x:c r="W30" s="78" t="str">
        <x:v>Alta</x:v>
      </x:c>
      <x:c r="X30" s="78" t="str">
        <x:v>Confirmado</x:v>
      </x:c>
    </x:row>
    <x:row r="31">
      <x:c r="A31" s="74" t="str">
        <x:v>028</x:v>
      </x:c>
      <x:c r="B31" s="74" t="str">
        <x:v>They're ACTION Figures!</x:v>
      </x:c>
      <x:c r="C31" s="74" t="str">
        <x:v>Prata</x:v>
      </x:c>
      <x:c r="D31" s="74" t="str">
        <x:v>Jogo-base</x:v>
      </x:c>
      <x:c r="E31" s="74" t="str">
        <x:v>Collect all the figurines.</x:v>
      </x:c>
      <x:c r="F31" s="74" t="str">
        <x:v>Bonus Features; rank; coletável; economia</x:v>
      </x:c>
      <x:c r="G31" s="74" t="str">
        <x:v>Não</x:v>
      </x:c>
      <x:c r="H31" s="74" t="str">
        <x:v>Não</x:v>
      </x:c>
      <x:c r="I31" s="74" t="str">
        <x:v>Opcional</x:v>
      </x:c>
      <x:c r="J31" s="74" t="str">
        <x:v>Não</x:v>
      </x:c>
      <x:c r="K31" s="74" t="str">
        <x:v>Campanha 2 — Amateur / Chapter Select</x:v>
      </x:c>
      <x:c r="L31" s="74" t="str">
        <x:v>Etapa 2 — Amateur: rank S, sub-5h e limpeza base</x:v>
      </x:c>
      <x:c r="M31" s="74" t="str">
        <x:v>Após campanha, 30 emblemas e rank S nos 16 capítulos</x:v>
      </x:c>
      <x:c r="N31" s="74" t="str">
        <x:v>46 figuras-base desbloqueadas; 22.000 Exchange Points para as 44 pagas</x:v>
      </x:c>
      <x:c r="O31" s="74" t="str">
        <x:v>Obtenha os 30 emblemas, conclua a campanha e registre rank S em todos os 16 capítulos; então compre as 46 figuras-base em Bonus Features. As duas primeiras são gratuitas e as 44 restantes custam 500 pontos cada.</x:v>
      </x:c>
      <x:c r="P31" s="74" t="str">
        <x:v>Gastar Exchange Points em munição infinita/Versus antes das figuras; contar figuras DLC.</x:v>
      </x:c>
      <x:c r="Q31" s="74" t="str">
        <x:v>Reserve 22.000 EP e confirme S em 16/16; figuras adicionais não contam.</x:v>
      </x:c>
      <x:c r="R31" s="74" t="str">
        <x:v>Refaça capítulos em Amateur para S e acumule EP por ranks.</x:v>
      </x:c>
      <x:c r="S31" s="74" t="str">
        <x:v>Sim</x:v>
      </x:c>
      <x:c r="T31" s="74" t="str">
        <x:v>Backup externo opcional antes de gastos</x:v>
      </x:c>
      <x:c r="U31" s="74" t="str">
        <x:v>Badge of Honor; S ranks; Exchange Points</x:v>
      </x:c>
      <x:c r="V31" s="74" t="str">
        <x:v>S06; S11</x:v>
      </x:c>
      <x:c r="W31" s="74" t="str">
        <x:v>Média-alta</x:v>
      </x:c>
      <x:c r="X31" s="74" t="str">
        <x:v>Confirmado</x:v>
      </x:c>
    </x:row>
    <x:row r="32">
      <x:c r="A32" s="78" t="str">
        <x:v>029</x:v>
      </x:c>
      <x:c r="B32" s="78" t="str">
        <x:v>A Friend in Need</x:v>
      </x:c>
      <x:c r="C32" s="78" t="str">
        <x:v>Bronze</x:v>
      </x:c>
      <x:c r="D32" s="78" t="str">
        <x:v>Jogo-base</x:v>
      </x:c>
      <x:c r="E32" s="78" t="str">
        <x:v>Save partner 10 times when HELP is displayed.</x:v>
      </x:c>
      <x:c r="F32" s="78" t="str">
        <x:v>Coop; cumulativo; campanha</x:v>
      </x:c>
      <x:c r="G32" s="78" t="str">
        <x:v>Não</x:v>
      </x:c>
      <x:c r="H32" s="78" t="str">
        <x:v>Não</x:v>
      </x:c>
      <x:c r="I32" s="78" t="str">
        <x:v>Opcional</x:v>
      </x:c>
      <x:c r="J32" s="78" t="str">
        <x:v>Sim</x:v>
      </x:c>
      <x:c r="K32" s="78" t="str">
        <x:v>Campanha 1 — Normal</x:v>
      </x:c>
      <x:c r="L32" s="78" t="str">
        <x:v>Etapa 1 — Normal: campanha, emblemas e tesouros</x:v>
      </x:c>
      <x:c r="M32" s="78" t="str">
        <x:v>Durante qualquer capítulo</x:v>
      </x:c>
      <x:c r="N32" s="78" t="str">
        <x:v>Parceiro em estado HELP</x:v>
      </x:c>
      <x:c r="O32" s="78" t="str">
        <x:v>Liberte/reanime o parceiro dez vezes enquanto HELP estiver exibido. Conta com IA ou humano.</x:v>
      </x:c>
      <x:c r="P32" s="78" t="str">
        <x:v>O parceiro entrar diretamente em DYING, que conta para outro troféu.</x:v>
      </x:c>
      <x:c r="Q32" s="78" t="str">
        <x:v>Use agarrões de inimigos fracos para gerar HELP de forma controlada.</x:v>
      </x:c>
      <x:c r="R32" s="78" t="str">
        <x:v>Repita em qualquer capítulo.</x:v>
      </x:c>
      <x:c r="S32" s="78" t="str">
        <x:v>Sim</x:v>
      </x:c>
      <x:c r="T32" s="78" t="str">
        <x:v>—</x:v>
      </x:c>
      <x:c r="U32" s="78" t="str">
        <x:v>Parceiro</x:v>
      </x:c>
      <x:c r="V32" s="78" t="str">
        <x:v>S05; S06</x:v>
      </x:c>
      <x:c r="W32" s="78" t="str">
        <x:v>Alta</x:v>
      </x:c>
      <x:c r="X32" s="78" t="str">
        <x:v>Confirmado</x:v>
      </x:c>
    </x:row>
    <x:row r="33">
      <x:c r="A33" s="74" t="str">
        <x:v>030</x:v>
      </x:c>
      <x:c r="B33" s="74" t="str">
        <x:v>Lifeguard</x:v>
      </x:c>
      <x:c r="C33" s="74" t="str">
        <x:v>Bronze</x:v>
      </x:c>
      <x:c r="D33" s="74" t="str">
        <x:v>Jogo-base</x:v>
      </x:c>
      <x:c r="E33" s="74" t="str">
        <x:v>Save partner 10 times when DYING is displayed.</x:v>
      </x:c>
      <x:c r="F33" s="74" t="str">
        <x:v>Coop; cumulativo; campanha</x:v>
      </x:c>
      <x:c r="G33" s="74" t="str">
        <x:v>Não</x:v>
      </x:c>
      <x:c r="H33" s="74" t="str">
        <x:v>Não</x:v>
      </x:c>
      <x:c r="I33" s="74" t="str">
        <x:v>Opcional</x:v>
      </x:c>
      <x:c r="J33" s="74" t="str">
        <x:v>Sim</x:v>
      </x:c>
      <x:c r="K33" s="74" t="str">
        <x:v>Campanha 1 — Normal</x:v>
      </x:c>
      <x:c r="L33" s="74" t="str">
        <x:v>Etapa 1 — Normal: campanha, emblemas e tesouros</x:v>
      </x:c>
      <x:c r="M33" s="74" t="str">
        <x:v>Durante qualquer capítulo</x:v>
      </x:c>
      <x:c r="N33" s="74" t="str">
        <x:v>Parceiro em estado DYING</x:v>
      </x:c>
      <x:c r="O33" s="74" t="str">
        <x:v>Cure/reanime o parceiro dez vezes quando DYING estiver exibido. Em Professional, oportunidades são frequentes, mas arriscadas.</x:v>
      </x:c>
      <x:c r="P33" s="74" t="str">
        <x:v>Parceiro morrer antes da ajuda.</x:v>
      </x:c>
      <x:c r="Q33" s="74" t="str">
        <x:v>Faça em dificuldade baixa com ervas e dano controlado.</x:v>
      </x:c>
      <x:c r="R33" s="74" t="str">
        <x:v>Repita em qualquer capítulo.</x:v>
      </x:c>
      <x:c r="S33" s="74" t="str">
        <x:v>Sim</x:v>
      </x:c>
      <x:c r="T33" s="74" t="str">
        <x:v>—</x:v>
      </x:c>
      <x:c r="U33" s="74" t="str">
        <x:v>Parceiro; cura</x:v>
      </x:c>
      <x:c r="V33" s="74" t="str">
        <x:v>S05; S06</x:v>
      </x:c>
      <x:c r="W33" s="74" t="str">
        <x:v>Alta</x:v>
      </x:c>
      <x:c r="X33" s="74" t="str">
        <x:v>Confirmado</x:v>
      </x:c>
    </x:row>
    <x:row r="34">
      <x:c r="A34" s="78" t="str">
        <x:v>031</x:v>
      </x:c>
      <x:c r="B34" s="78" t="str">
        <x:v>Exploding Heads</x:v>
      </x:c>
      <x:c r="C34" s="78" t="str">
        <x:v>Bronze</x:v>
      </x:c>
      <x:c r="D34" s="78" t="str">
        <x:v>Jogo-base</x:v>
      </x:c>
      <x:c r="E34" s="78" t="str">
        <x:v>Pull off 20 headshots.</x:v>
      </x:c>
      <x:c r="F34" s="78" t="str">
        <x:v>Combate; cumulativo</x:v>
      </x:c>
      <x:c r="G34" s="78" t="str">
        <x:v>Não</x:v>
      </x:c>
      <x:c r="H34" s="78" t="str">
        <x:v>Não</x:v>
      </x:c>
      <x:c r="I34" s="78" t="str">
        <x:v>Opcional</x:v>
      </x:c>
      <x:c r="J34" s="78" t="str">
        <x:v>Sim</x:v>
      </x:c>
      <x:c r="K34" s="78" t="str">
        <x:v>Campanha 1 — Normal</x:v>
      </x:c>
      <x:c r="L34" s="78" t="str">
        <x:v>Etapa 1 — Normal: campanha, emblemas e tesouros</x:v>
      </x:c>
      <x:c r="M34" s="78" t="str">
        <x:v>Qualquer capítulo</x:v>
      </x:c>
      <x:c r="N34" s="78" t="str">
        <x:v>20 headshots letais</x:v>
      </x:c>
      <x:c r="O34" s="78" t="str">
        <x:v>Mate 20 inimigos com disparos na cabeça; progresso é cumulativo no save.</x:v>
      </x:c>
      <x:c r="P34" s="78" t="str">
        <x:v>Nenhum risco permanente.</x:v>
      </x:c>
      <x:c r="Q34" s="78" t="str">
        <x:v>—</x:v>
      </x:c>
      <x:c r="R34" s="78" t="str">
        <x:v>Farm em 1-1/1-2 no Amateur.</x:v>
      </x:c>
      <x:c r="S34" s="78" t="str">
        <x:v>Sim</x:v>
      </x:c>
      <x:c r="T34" s="78" t="str">
        <x:v>—</x:v>
      </x:c>
      <x:c r="U34" s="78" t="str">
        <x:v>Arma de precisão</x:v>
      </x:c>
      <x:c r="V34" s="78" t="str">
        <x:v>S05</x:v>
      </x:c>
      <x:c r="W34" s="78" t="str">
        <x:v>Alta</x:v>
      </x:c>
      <x:c r="X34" s="78" t="str">
        <x:v>Confirmado</x:v>
      </x:c>
    </x:row>
    <x:row r="35">
      <x:c r="A35" s="74" t="str">
        <x:v>032</x:v>
      </x:c>
      <x:c r="B35" s="74" t="str">
        <x:v>A Cut Above</x:v>
      </x:c>
      <x:c r="C35" s="74" t="str">
        <x:v>Bronze</x:v>
      </x:c>
      <x:c r="D35" s="74" t="str">
        <x:v>Jogo-base</x:v>
      </x:c>
      <x:c r="E35" s="74" t="str">
        <x:v>Defeat 5 enemies with the Knife.</x:v>
      </x:c>
      <x:c r="F35" s="74" t="str">
        <x:v>Combate; cumulativo</x:v>
      </x:c>
      <x:c r="G35" s="74" t="str">
        <x:v>Não</x:v>
      </x:c>
      <x:c r="H35" s="74" t="str">
        <x:v>Não</x:v>
      </x:c>
      <x:c r="I35" s="74" t="str">
        <x:v>Opcional</x:v>
      </x:c>
      <x:c r="J35" s="74" t="str">
        <x:v>Sim</x:v>
      </x:c>
      <x:c r="K35" s="74" t="str">
        <x:v>Campanha 1 — Normal</x:v>
      </x:c>
      <x:c r="L35" s="74" t="str">
        <x:v>Etapa 1 — Normal: campanha, emblemas e tesouros</x:v>
      </x:c>
      <x:c r="M35" s="74" t="str">
        <x:v>Início da campanha</x:v>
      </x:c>
      <x:c r="N35" s="74" t="str">
        <x:v>5 mortes com faca</x:v>
      </x:c>
      <x:c r="O35" s="74" t="str">
        <x:v>Enfraqueça Majini em Amateur e finalize cinco com a faca.</x:v>
      </x:c>
      <x:c r="P35" s="74" t="str">
        <x:v>IA roubar as mortes.</x:v>
      </x:c>
      <x:c r="Q35" s="74" t="str">
        <x:v>Jogue solo e retire arma da IA se necessário.</x:v>
      </x:c>
      <x:c r="R35" s="74" t="str">
        <x:v>Repita 1-1.</x:v>
      </x:c>
      <x:c r="S35" s="74" t="str">
        <x:v>Sim</x:v>
      </x:c>
      <x:c r="T35" s="74" t="str">
        <x:v>—</x:v>
      </x:c>
      <x:c r="U35" s="74" t="str">
        <x:v>Faca</x:v>
      </x:c>
      <x:c r="V35" s="74" t="str">
        <x:v>S05; S06</x:v>
      </x:c>
      <x:c r="W35" s="74" t="str">
        <x:v>Alta</x:v>
      </x:c>
      <x:c r="X35" s="74" t="str">
        <x:v>Confirmado</x:v>
      </x:c>
    </x:row>
    <x:row r="36">
      <x:c r="A36" s="78" t="str">
        <x:v>033</x:v>
      </x:c>
      <x:c r="B36" s="78" t="str">
        <x:v>Cattle Prod</x:v>
      </x:c>
      <x:c r="C36" s="78" t="str">
        <x:v>Bronze</x:v>
      </x:c>
      <x:c r="D36" s="78" t="str">
        <x:v>Jogo-base</x:v>
      </x:c>
      <x:c r="E36" s="78" t="str">
        <x:v>Defeat 30 enemies with the Stun rod.</x:v>
      </x:c>
      <x:c r="F36" s="78" t="str">
        <x:v>Combate; arma; cumulativo</x:v>
      </x:c>
      <x:c r="G36" s="78" t="str">
        <x:v>Não</x:v>
      </x:c>
      <x:c r="H36" s="78" t="str">
        <x:v>Não</x:v>
      </x:c>
      <x:c r="I36" s="78" t="str">
        <x:v>Opcional</x:v>
      </x:c>
      <x:c r="J36" s="78" t="str">
        <x:v>Sim</x:v>
      </x:c>
      <x:c r="K36" s="78" t="str">
        <x:v>Campanha 2 — Amateur / Chapter Select</x:v>
      </x:c>
      <x:c r="L36" s="78" t="str">
        <x:v>Etapa 2 — Amateur: rank S, sub-5h e limpeza base</x:v>
      </x:c>
      <x:c r="M36" s="78" t="str">
        <x:v>Após comprar Stun Rod</x:v>
      </x:c>
      <x:c r="N36" s="78" t="str">
        <x:v>Stun Rod; 30 mortes</x:v>
      </x:c>
      <x:c r="O36" s="78" t="str">
        <x:v>Equipe o Stun Rod e finalize 30 inimigos em Amateur; 1-1 oferece grupos rápidos.</x:v>
      </x:c>
      <x:c r="P36" s="78" t="str">
        <x:v>Dano alto recebido em dificuldade maior.</x:v>
      </x:c>
      <x:c r="Q36" s="78" t="str">
        <x:v>Faça em Amateur com colete.</x:v>
      </x:c>
      <x:c r="R36" s="78" t="str">
        <x:v>Continue o contador em qualquer capítulo.</x:v>
      </x:c>
      <x:c r="S36" s="78" t="str">
        <x:v>Sim</x:v>
      </x:c>
      <x:c r="T36" s="78" t="str">
        <x:v>—</x:v>
      </x:c>
      <x:c r="U36" s="78" t="str">
        <x:v>Stockpile</x:v>
      </x:c>
      <x:c r="V36" s="78" t="str">
        <x:v>S05; S06</x:v>
      </x:c>
      <x:c r="W36" s="78" t="str">
        <x:v>Alta</x:v>
      </x:c>
      <x:c r="X36" s="78" t="str">
        <x:v>Confirmado</x:v>
      </x:c>
    </x:row>
    <x:row r="37">
      <x:c r="A37" s="74" t="str">
        <x:v>034</x:v>
      </x:c>
      <x:c r="B37" s="74" t="str">
        <x:v>Crowd Control</x:v>
      </x:c>
      <x:c r="C37" s="74" t="str">
        <x:v>Bronze</x:v>
      </x:c>
      <x:c r="D37" s="74" t="str">
        <x:v>Jogo-base</x:v>
      </x:c>
      <x:c r="E37" s="74" t="str">
        <x:v>Defeat 30 enemies with the Gatling gun.</x:v>
      </x:c>
      <x:c r="F37" s="74" t="str">
        <x:v>Combate; arma desbloqueada; personagem</x:v>
      </x:c>
      <x:c r="G37" s="74" t="str">
        <x:v>Não</x:v>
      </x:c>
      <x:c r="H37" s="74" t="str">
        <x:v>Não</x:v>
      </x:c>
      <x:c r="I37" s="74" t="str">
        <x:v>Opcional</x:v>
      </x:c>
      <x:c r="J37" s="74" t="str">
        <x:v>Não</x:v>
      </x:c>
      <x:c r="K37" s="74" t="str">
        <x:v>Campanha 2 — Amateur / Chapter Select</x:v>
      </x:c>
      <x:c r="L37" s="74" t="str">
        <x:v>Etapa 2 — Amateur: rank S, sub-5h e limpeza base</x:v>
      </x:c>
      <x:c r="M37" s="74" t="str">
        <x:v>Após campanha e VZ61 maximizada</x:v>
      </x:c>
      <x:c r="N37" s="74" t="str">
        <x:v>Gatling Gun comprada; jogar como Chris</x:v>
      </x:c>
      <x:c r="O37" s="74" t="str">
        <x:v>Após maximizar a VZ61 e concluir o jogo, compre/equipe a Gatling Gun com Chris e mate 30 inimigos.</x:v>
      </x:c>
      <x:c r="P37" s="74" t="str">
        <x:v>Tentar com Sheva ou antes do desbloqueio.</x:v>
      </x:c>
      <x:c r="Q37" s="74" t="str">
        <x:v>Selecione Chris e confirme a Gatling no inventário.</x:v>
      </x:c>
      <x:c r="R37" s="74" t="str">
        <x:v>Repita 1-1 em Amateur.</x:v>
      </x:c>
      <x:c r="S37" s="74" t="str">
        <x:v>Sim</x:v>
      </x:c>
      <x:c r="T37" s="74" t="str">
        <x:v>—</x:v>
      </x:c>
      <x:c r="U37" s="74" t="str">
        <x:v>VZ61 máxima; conclusão; Stockpile</x:v>
      </x:c>
      <x:c r="V37" s="74" t="str">
        <x:v>S05; S06</x:v>
      </x:c>
      <x:c r="W37" s="74" t="str">
        <x:v>Alta</x:v>
      </x:c>
      <x:c r="X37" s="74" t="str">
        <x:v>Confirmado</x:v>
      </x:c>
    </x:row>
    <x:row r="38">
      <x:c r="A38" s="78" t="str">
        <x:v>035</x:v>
      </x:c>
      <x:c r="B38" s="78" t="str">
        <x:v>Bull's-eye</x:v>
      </x:c>
      <x:c r="C38" s="78" t="str">
        <x:v>Bronze</x:v>
      </x:c>
      <x:c r="D38" s="78" t="str">
        <x:v>Jogo-base</x:v>
      </x:c>
      <x:c r="E38" s="78" t="str">
        <x:v>Defeat 30 enemies with the Longbow.</x:v>
      </x:c>
      <x:c r="F38" s="78" t="str">
        <x:v>Combate; arma desbloqueada; personagem</x:v>
      </x:c>
      <x:c r="G38" s="78" t="str">
        <x:v>Não</x:v>
      </x:c>
      <x:c r="H38" s="78" t="str">
        <x:v>Não</x:v>
      </x:c>
      <x:c r="I38" s="78" t="str">
        <x:v>Opcional</x:v>
      </x:c>
      <x:c r="J38" s="78" t="str">
        <x:v>Não</x:v>
      </x:c>
      <x:c r="K38" s="78" t="str">
        <x:v>Campanha 2 — Amateur / Chapter Select</x:v>
      </x:c>
      <x:c r="L38" s="78" t="str">
        <x:v>Etapa 2 — Amateur: rank S, sub-5h e limpeza base</x:v>
      </x:c>
      <x:c r="M38" s="78" t="str">
        <x:v>Após campanha e S75 maximizada</x:v>
      </x:c>
      <x:c r="N38" s="78" t="str">
        <x:v>Longbow comprada; jogar como Sheva</x:v>
      </x:c>
      <x:c r="O38" s="78" t="str">
        <x:v>Após maximizar a S75 e concluir o jogo, compre/equipe o Longbow com Sheva e mate 30 inimigos.</x:v>
      </x:c>
      <x:c r="P38" s="78" t="str">
        <x:v>Tentar com Chris ou antes do desbloqueio.</x:v>
      </x:c>
      <x:c r="Q38" s="78" t="str">
        <x:v>Selecione Sheva como personagem principal após concluir a campanha.</x:v>
      </x:c>
      <x:c r="R38" s="78" t="str">
        <x:v>Repita 1-1 em Amateur.</x:v>
      </x:c>
      <x:c r="S38" s="78" t="str">
        <x:v>Sim</x:v>
      </x:c>
      <x:c r="T38" s="78" t="str">
        <x:v>—</x:v>
      </x:c>
      <x:c r="U38" s="78" t="str">
        <x:v>S75 máxima; conclusão; Stockpile</x:v>
      </x:c>
      <x:c r="V38" s="78" t="str">
        <x:v>S05; S06</x:v>
      </x:c>
      <x:c r="W38" s="78" t="str">
        <x:v>Alta</x:v>
      </x:c>
      <x:c r="X38" s="78" t="str">
        <x:v>Confirmado</x:v>
      </x:c>
    </x:row>
    <x:row r="39">
      <x:c r="A39" s="74" t="str">
        <x:v>036</x:v>
      </x:c>
      <x:c r="B39" s="74" t="str">
        <x:v>Get Physical</x:v>
      </x:c>
      <x:c r="C39" s="74" t="str">
        <x:v>Bronze</x:v>
      </x:c>
      <x:c r="D39" s="74" t="str">
        <x:v>Jogo-base</x:v>
      </x:c>
      <x:c r="E39" s="74" t="str">
        <x:v>Defeat 20 enemies with physical attacks.</x:v>
      </x:c>
      <x:c r="F39" s="74" t="str">
        <x:v>Combate; cumulativo</x:v>
      </x:c>
      <x:c r="G39" s="74" t="str">
        <x:v>Não</x:v>
      </x:c>
      <x:c r="H39" s="74" t="str">
        <x:v>Não</x:v>
      </x:c>
      <x:c r="I39" s="74" t="str">
        <x:v>Opcional</x:v>
      </x:c>
      <x:c r="J39" s="74" t="str">
        <x:v>Sim</x:v>
      </x:c>
      <x:c r="K39" s="74" t="str">
        <x:v>Campanha 1 — Normal</x:v>
      </x:c>
      <x:c r="L39" s="74" t="str">
        <x:v>Etapa 1 — Normal: campanha, emblemas e tesouros</x:v>
      </x:c>
      <x:c r="M39" s="74" t="str">
        <x:v>Qualquer capítulo</x:v>
      </x:c>
      <x:c r="N39" s="74" t="str">
        <x:v>20 mortes com ataques físicos</x:v>
      </x:c>
      <x:c r="O39" s="74" t="str">
        <x:v>Atordoe inimigos com tiros em cabeça/pernas e finalize 20 usando o comando de corpo a corpo.</x:v>
      </x:c>
      <x:c r="P39" s="74" t="str">
        <x:v>Arma ou parceiro dar o golpe final.</x:v>
      </x:c>
      <x:c r="Q39" s="74" t="str">
        <x:v>Use pistola fraca e jogue solo.</x:v>
      </x:c>
      <x:c r="R39" s="74" t="str">
        <x:v>Continue em qualquer capítulo.</x:v>
      </x:c>
      <x:c r="S39" s="74" t="str">
        <x:v>Sim</x:v>
      </x:c>
      <x:c r="T39" s="74" t="str">
        <x:v>—</x:v>
      </x:c>
      <x:c r="U39" s="74" t="str">
        <x:v>Mecânica de melee</x:v>
      </x:c>
      <x:c r="V39" s="74" t="str">
        <x:v>S05</x:v>
      </x:c>
      <x:c r="W39" s="74" t="str">
        <x:v>Alta</x:v>
      </x:c>
      <x:c r="X39" s="74" t="str">
        <x:v>Confirmado</x:v>
      </x:c>
    </x:row>
    <x:row r="40">
      <x:c r="A40" s="78" t="str">
        <x:v>037</x:v>
      </x:c>
      <x:c r="B40" s="78" t="str">
        <x:v>The Works</x:v>
      </x:c>
      <x:c r="C40" s="78" t="str">
        <x:v>Bronze</x:v>
      </x:c>
      <x:c r="D40" s="78" t="str">
        <x:v>Jogo-base</x:v>
      </x:c>
      <x:c r="E40" s="78" t="str">
        <x:v>Chain the maximum number of combos together in one go.</x:v>
      </x:c>
      <x:c r="F40" s="78" t="str">
        <x:v>Combate; coop; combo</x:v>
      </x:c>
      <x:c r="G40" s="78" t="str">
        <x:v>Não</x:v>
      </x:c>
      <x:c r="H40" s="78" t="str">
        <x:v>Não</x:v>
      </x:c>
      <x:c r="I40" s="78" t="str">
        <x:v>Sim/recomendado</x:v>
      </x:c>
      <x:c r="J40" s="78" t="str">
        <x:v>Não</x:v>
      </x:c>
      <x:c r="K40" s="78" t="str">
        <x:v>Campanha 2 — Amateur / Chapter Select</x:v>
      </x:c>
      <x:c r="L40" s="78" t="str">
        <x:v>Etapa 2 — Amateur: rank S, sub-5h e limpeza base</x:v>
      </x:c>
      <x:c r="M40" s="78" t="str">
        <x:v>Capítulo 2-1, Big Man Majini</x:v>
      </x:c>
      <x:c r="N40" s="78" t="str">
        <x:v>Inimigo resistente; parceiro humano recomendado</x:v>
      </x:c>
      <x:c r="O40" s="78" t="str">
        <x:v>Atordoe um Big Man Majini, execute o primeiro melee para lançá-lo ao parceiro, faça o parceiro devolver com outro melee e aplique o terceiro golpe final. Quem inicia/finaliza recebe o troféu.</x:v>
      </x:c>
      <x:c r="P40" s="78" t="str">
        <x:v>Inimigo morrer antes do terceiro golpe ou IA não se posicionar.</x:v>
      </x:c>
      <x:c r="Q40" s="78" t="str">
        <x:v>Use Amateur, arma fraca/flash e parceiro humano.</x:v>
      </x:c>
      <x:c r="R40" s="78" t="str">
        <x:v>Reinicie o checkpoint ou repita 2-1.</x:v>
      </x:c>
      <x:c r="S40" s="78" t="str">
        <x:v>Chapter Select</x:v>
      </x:c>
      <x:c r="T40" s="78" t="str">
        <x:v>—</x:v>
      </x:c>
      <x:c r="U40" s="78" t="str">
        <x:v>Parceiro; cadeia de 3 melees</x:v>
      </x:c>
      <x:c r="V40" s="78" t="str">
        <x:v>S06; S12</x:v>
      </x:c>
      <x:c r="W40" s="78" t="str">
        <x:v>Alta</x:v>
      </x:c>
      <x:c r="X40" s="78" t="str">
        <x:v>Confirmado</x:v>
      </x:c>
    </x:row>
    <x:row r="41">
      <x:c r="A41" s="74" t="str">
        <x:v>038</x:v>
      </x:c>
      <x:c r="B41" s="74" t="str">
        <x:v>Lead Aspirin</x:v>
      </x:c>
      <x:c r="C41" s="74" t="str">
        <x:v>Prata</x:v>
      </x:c>
      <x:c r="D41" s="74" t="str">
        <x:v>Jogo-base</x:v>
      </x:c>
      <x:c r="E41" s="74" t="str">
        <x:v>Defeat a Majini with a headshot while it's jumping.</x:v>
      </x:c>
      <x:c r="F41" s="74" t="str">
        <x:v>Combate; capítulo; timing</x:v>
      </x:c>
      <x:c r="G41" s="74" t="str">
        <x:v>Condicional — capítulo</x:v>
      </x:c>
      <x:c r="H41" s="74" t="str">
        <x:v>Não</x:v>
      </x:c>
      <x:c r="I41" s="74" t="str">
        <x:v>Opcional</x:v>
      </x:c>
      <x:c r="J41" s="74" t="str">
        <x:v>Não</x:v>
      </x:c>
      <x:c r="K41" s="74" t="str">
        <x:v>Campanha 2 — Amateur / Chapter Select</x:v>
      </x:c>
      <x:c r="L41" s="74" t="str">
        <x:v>Etapa 2 — Amateur: rank S, sub-5h e limpeza base</x:v>
      </x:c>
      <x:c r="M41" s="74" t="str">
        <x:v>Capítulo 3-2, salto roteirizado na refinaria</x:v>
      </x:c>
      <x:c r="N41" s="74" t="str">
        <x:v>Shotgun/rifle; Majini em animação de salto</x:v>
      </x:c>
      <x:c r="O41" s="74" t="str">
        <x:v>Posicione a mira na cabeça antes do salto roteirizado e dispare enquanto o Majini estiver no ar; shotgun em Amateur amplia a margem.</x:v>
      </x:c>
      <x:c r="P41" s="74" t="str">
        <x:v>Matar antes do salto ou acertar o corpo.</x:v>
      </x:c>
      <x:c r="Q41" s="74" t="str">
        <x:v>Use o salto repetível perto do checkpoint e não deixe a IA atirar.</x:v>
      </x:c>
      <x:c r="R41" s="74" t="str">
        <x:v>Reinicie checkpoint/capítulo.</x:v>
      </x:c>
      <x:c r="S41" s="74" t="str">
        <x:v>Chapter Select</x:v>
      </x:c>
      <x:c r="T41" s="74" t="str">
        <x:v>—</x:v>
      </x:c>
      <x:c r="U41" s="74" t="str">
        <x:v>Timing</x:v>
      </x:c>
      <x:c r="V41" s="74" t="str">
        <x:v>S05; S06</x:v>
      </x:c>
      <x:c r="W41" s="74" t="str">
        <x:v>Média-alta</x:v>
      </x:c>
      <x:c r="X41" s="74" t="str">
        <x:v>Confirmado</x:v>
      </x:c>
    </x:row>
    <x:row r="42">
      <x:c r="A42" s="78" t="str">
        <x:v>039</x:v>
      </x:c>
      <x:c r="B42" s="78" t="str">
        <x:v>Fireworks</x:v>
      </x:c>
      <x:c r="C42" s="78" t="str">
        <x:v>Bronze</x:v>
      </x:c>
      <x:c r="D42" s="78" t="str">
        <x:v>Jogo-base</x:v>
      </x:c>
      <x:c r="E42" s="78" t="str">
        <x:v>Shoot an enemy Molotov cocktail, dynamite stick, or hand grenade.</x:v>
      </x:c>
      <x:c r="F42" s="78" t="str">
        <x:v>Combate; situacional</x:v>
      </x:c>
      <x:c r="G42" s="78" t="str">
        <x:v>Não</x:v>
      </x:c>
      <x:c r="H42" s="78" t="str">
        <x:v>Não</x:v>
      </x:c>
      <x:c r="I42" s="78" t="str">
        <x:v>Opcional</x:v>
      </x:c>
      <x:c r="J42" s="78" t="str">
        <x:v>Não</x:v>
      </x:c>
      <x:c r="K42" s="78" t="str">
        <x:v>Campanha 1 — Normal</x:v>
      </x:c>
      <x:c r="L42" s="78" t="str">
        <x:v>Etapa 1 — Normal: campanha, emblemas e tesouros</x:v>
      </x:c>
      <x:c r="M42" s="78" t="str">
        <x:v>Capítulos com Majini explosivos</x:v>
      </x:c>
      <x:c r="N42" s="78" t="str">
        <x:v>Inimigo segurando explosivo</x:v>
      </x:c>
      <x:c r="O42" s="78" t="str">
        <x:v>Atire no coquetel Molotov, dinamite ou granada enquanto estiver na mão do inimigo.</x:v>
      </x:c>
      <x:c r="P42" s="78" t="str">
        <x:v>Matar o inimigo antes de atingir o explosivo.</x:v>
      </x:c>
      <x:c r="Q42" s="78" t="str">
        <x:v>Mire no objeto, não na cabeça.</x:v>
      </x:c>
      <x:c r="R42" s="78" t="str">
        <x:v>Repita encontro.</x:v>
      </x:c>
      <x:c r="S42" s="78" t="str">
        <x:v>Chapter Select</x:v>
      </x:c>
      <x:c r="T42" s="78" t="str">
        <x:v>—</x:v>
      </x:c>
      <x:c r="U42" s="78" t="str">
        <x:v>Explosivo inimigo</x:v>
      </x:c>
      <x:c r="V42" s="78" t="str">
        <x:v>S05</x:v>
      </x:c>
      <x:c r="W42" s="78" t="str">
        <x:v>Alta</x:v>
      </x:c>
      <x:c r="X42" s="78" t="str">
        <x:v>Confirmado</x:v>
      </x:c>
    </x:row>
    <x:row r="43">
      <x:c r="A43" s="74" t="str">
        <x:v>040</x:v>
      </x:c>
      <x:c r="B43" s="74" t="str">
        <x:v>Be the Knife</x:v>
      </x:c>
      <x:c r="C43" s="74" t="str">
        <x:v>Prata</x:v>
      </x:c>
      <x:c r="D43" s="74" t="str">
        <x:v>Jogo-base</x:v>
      </x:c>
      <x:c r="E43" s="74" t="str">
        <x:v>Deflect a bow gun arrow with your knife.</x:v>
      </x:c>
      <x:c r="F43" s="74" t="str">
        <x:v>Combate; timing</x:v>
      </x:c>
      <x:c r="G43" s="74" t="str">
        <x:v>Não</x:v>
      </x:c>
      <x:c r="H43" s="74" t="str">
        <x:v>Não</x:v>
      </x:c>
      <x:c r="I43" s="74" t="str">
        <x:v>Opcional</x:v>
      </x:c>
      <x:c r="J43" s="74" t="str">
        <x:v>Não</x:v>
      </x:c>
      <x:c r="K43" s="74" t="str">
        <x:v>Campanha 2 — Amateur / Chapter Select</x:v>
      </x:c>
      <x:c r="L43" s="74" t="str">
        <x:v>Etapa 2 — Amateur: rank S, sub-5h e limpeza base</x:v>
      </x:c>
      <x:c r="M43" s="74" t="str">
        <x:v>Capítulo 2-1/2-2 contra arqueiro</x:v>
      </x:c>
      <x:c r="N43" s="74" t="str">
        <x:v>Majini com bowgun</x:v>
      </x:c>
      <x:c r="O43" s="74" t="str">
        <x:v>Fique a média distância e golpeie com a faca no instante em que a flecha chegar para desviá-la.</x:v>
      </x:c>
      <x:c r="P43" s="74" t="str">
        <x:v>Ser atingido ou matar o arqueiro.</x:v>
      </x:c>
      <x:c r="Q43" s="74" t="str">
        <x:v>Elimine outros inimigos e mantenha o arqueiro isolado.</x:v>
      </x:c>
      <x:c r="R43" s="74" t="str">
        <x:v>Reinicie checkpoint.</x:v>
      </x:c>
      <x:c r="S43" s="74" t="str">
        <x:v>Chapter Select</x:v>
      </x:c>
      <x:c r="T43" s="74" t="str">
        <x:v>—</x:v>
      </x:c>
      <x:c r="U43" s="74" t="str">
        <x:v>Faca; bowgun</x:v>
      </x:c>
      <x:c r="V43" s="74" t="str">
        <x:v>S05; S06</x:v>
      </x:c>
      <x:c r="W43" s="74" t="str">
        <x:v>Alta</x:v>
      </x:c>
      <x:c r="X43" s="74" t="str">
        <x:v>Confirmado</x:v>
      </x:c>
    </x:row>
    <x:row r="44">
      <x:c r="A44" s="78" t="str">
        <x:v>041</x:v>
      </x:c>
      <x:c r="B44" s="78" t="str">
        <x:v>Meat Shower</x:v>
      </x:c>
      <x:c r="C44" s="78" t="str">
        <x:v>Bronze</x:v>
      </x:c>
      <x:c r="D44" s="78" t="str">
        <x:v>Jogo-base</x:v>
      </x:c>
      <x:c r="E44" s="78" t="str">
        <x:v>Defeat 3 Majini with one grenade or proximity bomb.</x:v>
      </x:c>
      <x:c r="F44" s="78" t="str">
        <x:v>Combate; explosivo</x:v>
      </x:c>
      <x:c r="G44" s="78" t="str">
        <x:v>Não</x:v>
      </x:c>
      <x:c r="H44" s="78" t="str">
        <x:v>Não</x:v>
      </x:c>
      <x:c r="I44" s="78" t="str">
        <x:v>Opcional</x:v>
      </x:c>
      <x:c r="J44" s="78" t="str">
        <x:v>Não</x:v>
      </x:c>
      <x:c r="K44" s="78" t="str">
        <x:v>Campanha 1 — Normal</x:v>
      </x:c>
      <x:c r="L44" s="78" t="str">
        <x:v>Etapa 1 — Normal: campanha, emblemas e tesouros</x:v>
      </x:c>
      <x:c r="M44" s="78" t="str">
        <x:v>1-1 ou área com grupo</x:v>
      </x:c>
      <x:c r="N44" s="78" t="str">
        <x:v>Granada/proximity bomb; 3 Majini agrupados</x:v>
      </x:c>
      <x:c r="O44" s="78" t="str">
        <x:v>Agrupe pelo menos três Majini e mate os três com uma única granada ou mina de proximidade.</x:v>
      </x:c>
      <x:c r="P44" s="78" t="str">
        <x:v>Explosão não ser letal.</x:v>
      </x:c>
      <x:c r="Q44" s="78" t="str">
        <x:v>Faça em Amateur e enfraqueça se necessário.</x:v>
      </x:c>
      <x:c r="R44" s="78" t="str">
        <x:v>Repita 1-1.</x:v>
      </x:c>
      <x:c r="S44" s="78" t="str">
        <x:v>Sim</x:v>
      </x:c>
      <x:c r="T44" s="78" t="str">
        <x:v>—</x:v>
      </x:c>
      <x:c r="U44" s="78" t="str">
        <x:v>Explosivos</x:v>
      </x:c>
      <x:c r="V44" s="78" t="str">
        <x:v>S05</x:v>
      </x:c>
      <x:c r="W44" s="78" t="str">
        <x:v>Alta</x:v>
      </x:c>
      <x:c r="X44" s="78" t="str">
        <x:v>Confirmado</x:v>
      </x:c>
    </x:row>
    <x:row r="45">
      <x:c r="A45" s="74" t="str">
        <x:v>042</x:v>
      </x:c>
      <x:c r="B45" s="74" t="str">
        <x:v>Go into the Light</x:v>
      </x:c>
      <x:c r="C45" s="74" t="str">
        <x:v>Bronze</x:v>
      </x:c>
      <x:c r="D45" s="74" t="str">
        <x:v>Jogo-base</x:v>
      </x:c>
      <x:c r="E45" s="74" t="str">
        <x:v>Defeat 2 enemies with one flash grenade.</x:v>
      </x:c>
      <x:c r="F45" s="74" t="str">
        <x:v>Combate; explosivo</x:v>
      </x:c>
      <x:c r="G45" s="74" t="str">
        <x:v>Não</x:v>
      </x:c>
      <x:c r="H45" s="74" t="str">
        <x:v>Não</x:v>
      </x:c>
      <x:c r="I45" s="74" t="str">
        <x:v>Opcional</x:v>
      </x:c>
      <x:c r="J45" s="74" t="str">
        <x:v>Não</x:v>
      </x:c>
      <x:c r="K45" s="74" t="str">
        <x:v>Campanha 1 — Normal</x:v>
      </x:c>
      <x:c r="L45" s="74" t="str">
        <x:v>Etapa 1 — Normal: campanha, emblemas e tesouros</x:v>
      </x:c>
      <x:c r="M45" s="74" t="str">
        <x:v>Grupos com Plagas expostas</x:v>
      </x:c>
      <x:c r="N45" s="74" t="str">
        <x:v>Flash Grenade; 2 alvos vulneráveis</x:v>
      </x:c>
      <x:c r="O45" s="74" t="str">
        <x:v>Exponha duas Plagas ou agrupe inimigos vulneráveis e mate ambos com uma única Flash Grenade.</x:v>
      </x:c>
      <x:c r="P45" s="74" t="str">
        <x:v>Alvos não vulneráveis sobreviverem.</x:v>
      </x:c>
      <x:c r="Q45" s="74" t="str">
        <x:v>Use inimigos com Plaga exposta.</x:v>
      </x:c>
      <x:c r="R45" s="74" t="str">
        <x:v>Repita capítulo.</x:v>
      </x:c>
      <x:c r="S45" s="74" t="str">
        <x:v>Sim</x:v>
      </x:c>
      <x:c r="T45" s="74" t="str">
        <x:v>—</x:v>
      </x:c>
      <x:c r="U45" s="74" t="str">
        <x:v>Flash Grenade</x:v>
      </x:c>
      <x:c r="V45" s="74" t="str">
        <x:v>S05; S06</x:v>
      </x:c>
      <x:c r="W45" s="74" t="str">
        <x:v>Alta</x:v>
      </x:c>
      <x:c r="X45" s="74" t="str">
        <x:v>Confirmado</x:v>
      </x:c>
    </x:row>
    <x:row r="46">
      <x:c r="A46" s="78" t="str">
        <x:v>043</x:v>
      </x:c>
      <x:c r="B46" s="78" t="str">
        <x:v>Ride the Lightning</x:v>
      </x:c>
      <x:c r="C46" s="78" t="str">
        <x:v>Bronze</x:v>
      </x:c>
      <x:c r="D46" s="78" t="str">
        <x:v>Jogo-base</x:v>
      </x:c>
      <x:c r="E46" s="78" t="str">
        <x:v>Defeat a Majini using the electric current from a transformer.</x:v>
      </x:c>
      <x:c r="F46" s="78" t="str">
        <x:v>Combate; ambiente</x:v>
      </x:c>
      <x:c r="G46" s="78" t="str">
        <x:v>Não</x:v>
      </x:c>
      <x:c r="H46" s="78" t="str">
        <x:v>Não</x:v>
      </x:c>
      <x:c r="I46" s="78" t="str">
        <x:v>Opcional</x:v>
      </x:c>
      <x:c r="J46" s="78" t="str">
        <x:v>Não</x:v>
      </x:c>
      <x:c r="K46" s="78" t="str">
        <x:v>Campanha 1 — Normal</x:v>
      </x:c>
      <x:c r="L46" s="78" t="str">
        <x:v>Etapa 1 — Normal: campanha, emblemas e tesouros</x:v>
      </x:c>
      <x:c r="M46" s="78" t="str">
        <x:v>1-1, transformador</x:v>
      </x:c>
      <x:c r="N46" s="78" t="str">
        <x:v>Majini sob transformador</x:v>
      </x:c>
      <x:c r="O46" s="78" t="str">
        <x:v>Derrube/ative o transformador elétrico quando um Majini estiver na área de descarga e deixe a eletricidade causar a morte.</x:v>
      </x:c>
      <x:c r="P46" s="78" t="str">
        <x:v>Tiro do jogador/IA dar o golpe final.</x:v>
      </x:c>
      <x:c r="Q46" s="78" t="str">
        <x:v>Remova arma da IA e espere o inimigo entrar na zona.</x:v>
      </x:c>
      <x:c r="R46" s="78" t="str">
        <x:v>Reinicie 1-1.</x:v>
      </x:c>
      <x:c r="S46" s="78" t="str">
        <x:v>Chapter Select</x:v>
      </x:c>
      <x:c r="T46" s="78" t="str">
        <x:v>—</x:v>
      </x:c>
      <x:c r="U46" s="78" t="str">
        <x:v>Transformador</x:v>
      </x:c>
      <x:c r="V46" s="78" t="str">
        <x:v>S05; S06</x:v>
      </x:c>
      <x:c r="W46" s="78" t="str">
        <x:v>Alta</x:v>
      </x:c>
      <x:c r="X46" s="78" t="str">
        <x:v>Confirmado</x:v>
      </x:c>
    </x:row>
    <x:row r="47">
      <x:c r="A47" s="74" t="str">
        <x:v>044</x:v>
      </x:c>
      <x:c r="B47" s="74" t="str">
        <x:v>Stop, Drop, &amp; Roll</x:v>
      </x:c>
      <x:c r="C47" s="74" t="str">
        <x:v>Bronze</x:v>
      </x:c>
      <x:c r="D47" s="74" t="str">
        <x:v>Jogo-base</x:v>
      </x:c>
      <x:c r="E47" s="74" t="str">
        <x:v>Defeat 3 Majini at once by setting oil canisters on fire.</x:v>
      </x:c>
      <x:c r="F47" s="74" t="str">
        <x:v>Combate; ambiente</x:v>
      </x:c>
      <x:c r="G47" s="74" t="str">
        <x:v>Não</x:v>
      </x:c>
      <x:c r="H47" s="74" t="str">
        <x:v>Não</x:v>
      </x:c>
      <x:c r="I47" s="74" t="str">
        <x:v>Opcional</x:v>
      </x:c>
      <x:c r="J47" s="74" t="str">
        <x:v>Não</x:v>
      </x:c>
      <x:c r="K47" s="74" t="str">
        <x:v>Campanha 1 — Normal</x:v>
      </x:c>
      <x:c r="L47" s="74" t="str">
        <x:v>Etapa 1 — Normal: campanha, emblemas e tesouros</x:v>
      </x:c>
      <x:c r="M47" s="74" t="str">
        <x:v>1-1, óleo</x:v>
      </x:c>
      <x:c r="N47" s="74" t="str">
        <x:v>3 Majini sobre óleo</x:v>
      </x:c>
      <x:c r="O47" s="74" t="str">
        <x:v>Agrupe três Majini na poça de óleo e atire nos recipientes/óleo para que o incêndio mate os três ao mesmo tempo.</x:v>
      </x:c>
      <x:c r="P47" s="74" t="str">
        <x:v>Inimigos saírem da área ou morrerem por tiro.</x:v>
      </x:c>
      <x:c r="Q47" s="74" t="str">
        <x:v>Use Amateur, circule o grupo e só então incendie.</x:v>
      </x:c>
      <x:c r="R47" s="74" t="str">
        <x:v>Reinicie 1-1.</x:v>
      </x:c>
      <x:c r="S47" s="74" t="str">
        <x:v>Chapter Select</x:v>
      </x:c>
      <x:c r="T47" s="74" t="str">
        <x:v>—</x:v>
      </x:c>
      <x:c r="U47" s="74" t="str">
        <x:v>Óleo</x:v>
      </x:c>
      <x:c r="V47" s="74" t="str">
        <x:v>S05; S06</x:v>
      </x:c>
      <x:c r="W47" s="74" t="str">
        <x:v>Alta</x:v>
      </x:c>
      <x:c r="X47" s="74" t="str">
        <x:v>Confirmado</x:v>
      </x:c>
    </x:row>
    <x:row r="48">
      <x:c r="A48" s="78" t="str">
        <x:v>045</x:v>
      </x:c>
      <x:c r="B48" s="78" t="str">
        <x:v>Baptism by Fire</x:v>
      </x:c>
      <x:c r="C48" s="78" t="str">
        <x:v>Bronze</x:v>
      </x:c>
      <x:c r="D48" s="78" t="str">
        <x:v>Jogo-base</x:v>
      </x:c>
      <x:c r="E48" s="78" t="str">
        <x:v>Defeat 3 Majini at once with a drum or gas tank explosion.</x:v>
      </x:c>
      <x:c r="F48" s="78" t="str">
        <x:v>Combate; ambiente</x:v>
      </x:c>
      <x:c r="G48" s="78" t="str">
        <x:v>Não</x:v>
      </x:c>
      <x:c r="H48" s="78" t="str">
        <x:v>Não</x:v>
      </x:c>
      <x:c r="I48" s="78" t="str">
        <x:v>Opcional</x:v>
      </x:c>
      <x:c r="J48" s="78" t="str">
        <x:v>Não</x:v>
      </x:c>
      <x:c r="K48" s="78" t="str">
        <x:v>Campanha 1 — Normal</x:v>
      </x:c>
      <x:c r="L48" s="78" t="str">
        <x:v>Etapa 1 — Normal: campanha, emblemas e tesouros</x:v>
      </x:c>
      <x:c r="M48" s="78" t="str">
        <x:v>1-1/1-2, barril ou tanque</x:v>
      </x:c>
      <x:c r="N48" s="78" t="str">
        <x:v>3 Majini próximos de explosivo</x:v>
      </x:c>
      <x:c r="O48" s="78" t="str">
        <x:v>Detone um barril ou tanque de gás para matar três Majini simultaneamente.</x:v>
      </x:c>
      <x:c r="P48" s="78" t="str">
        <x:v>Explosão não matar os três.</x:v>
      </x:c>
      <x:c r="Q48" s="78" t="str">
        <x:v>Agrupe em Amateur.</x:v>
      </x:c>
      <x:c r="R48" s="78" t="str">
        <x:v>Repita encontro.</x:v>
      </x:c>
      <x:c r="S48" s="78" t="str">
        <x:v>Sim</x:v>
      </x:c>
      <x:c r="T48" s="78" t="str">
        <x:v>—</x:v>
      </x:c>
      <x:c r="U48" s="78" t="str">
        <x:v>Barril/tanque</x:v>
      </x:c>
      <x:c r="V48" s="78" t="str">
        <x:v>S05</x:v>
      </x:c>
      <x:c r="W48" s="78" t="str">
        <x:v>Alta</x:v>
      </x:c>
      <x:c r="X48" s="78" t="str">
        <x:v>Confirmado</x:v>
      </x:c>
    </x:row>
    <x:row r="49">
      <x:c r="A49" s="74" t="str">
        <x:v>046</x:v>
      </x:c>
      <x:c r="B49" s="74" t="str">
        <x:v>Masters of Removing</x:v>
      </x:c>
      <x:c r="C49" s="74" t="str">
        <x:v>Bronze</x:v>
      </x:c>
      <x:c r="D49" s="74" t="str">
        <x:v>Jogo-base</x:v>
      </x:c>
      <x:c r="E49" s="74" t="str">
        <x:v>Work together to save someone special.</x:v>
      </x:c>
      <x:c r="F49" s="74" t="str">
        <x:v>Campanha; coop; chefe; capítulo</x:v>
      </x:c>
      <x:c r="G49" s="74" t="str">
        <x:v>Condicional — capítulo</x:v>
      </x:c>
      <x:c r="H49" s="74" t="str">
        <x:v>Não</x:v>
      </x:c>
      <x:c r="I49" s="74" t="str">
        <x:v>Sim/recomendado</x:v>
      </x:c>
      <x:c r="J49" s="74" t="str">
        <x:v>Não</x:v>
      </x:c>
      <x:c r="K49" s="74" t="str">
        <x:v>Campanha 1 — Normal</x:v>
      </x:c>
      <x:c r="L49" s="74" t="str">
        <x:v>Etapa 1 — Normal: campanha, emblemas e tesouros</x:v>
      </x:c>
      <x:c r="M49" s="74" t="str">
        <x:v>5-3, fase de Jill</x:v>
      </x:c>
      <x:c r="N49" s="74" t="str">
        <x:v>Jill imobilizada pelo parceiro</x:v>
      </x:c>
      <x:c r="O49" s="74" t="str">
        <x:v>Durante a luta, faça o parceiro segurar Jill enquanto ela estiver de pé e execute a retirada do dispositivo pelo peito até removê-lo. Este é o método seguro para satisfazer o gatilho cooperativo.</x:v>
      </x:c>
      <x:c r="P49" s="74" t="str">
        <x:v>Concluir removendo somente no chão e o gatilho não registrar segundo algumas fontes.</x:v>
      </x:c>
      <x:c r="Q49" s="74" t="str">
        <x:v>Faça ao menos uma tentativa de remoção em pé enquanto Jill está contida.</x:v>
      </x:c>
      <x:c r="R49" s="74" t="str">
        <x:v>Repita 5-3 via Chapter Select.</x:v>
      </x:c>
      <x:c r="S49" s="74" t="str">
        <x:v>Chapter Select</x:v>
      </x:c>
      <x:c r="T49" s="74" t="str">
        <x:v>—</x:v>
      </x:c>
      <x:c r="U49" s="74" t="str">
        <x:v>Parceiro; 5-3</x:v>
      </x:c>
      <x:c r="V49" s="74" t="str">
        <x:v>S05; S06</x:v>
      </x:c>
      <x:c r="W49" s="74" t="str">
        <x:v>Média-alta</x:v>
      </x:c>
      <x:c r="X49" s="74" t="str">
        <x:v>Confirmado</x:v>
      </x:c>
    </x:row>
    <x:row r="50">
      <x:c r="A50" s="78" t="str">
        <x:v>047</x:v>
      </x:c>
      <x:c r="B50" s="78" t="str">
        <x:v>Bad Blood</x:v>
      </x:c>
      <x:c r="C50" s="78" t="str">
        <x:v>Bronze</x:v>
      </x:c>
      <x:c r="D50" s="78" t="str">
        <x:v>Jogo-base</x:v>
      </x:c>
      <x:c r="E50" s="78" t="str">
        <x:v>During the first fight with Wesker, damage him a set number of times.</x:v>
      </x:c>
      <x:c r="F50" s="78" t="str">
        <x:v>Campanha; chefe; tempo; capítulo</x:v>
      </x:c>
      <x:c r="G50" s="78" t="str">
        <x:v>Condicional — capítulo</x:v>
      </x:c>
      <x:c r="H50" s="78" t="str">
        <x:v>Não</x:v>
      </x:c>
      <x:c r="I50" s="78" t="str">
        <x:v>Opcional</x:v>
      </x:c>
      <x:c r="J50" s="78" t="str">
        <x:v>Não</x:v>
      </x:c>
      <x:c r="K50" s="78" t="str">
        <x:v>Campanha 1 — Normal</x:v>
      </x:c>
      <x:c r="L50" s="78" t="str">
        <x:v>Etapa 1 — Normal: campanha, emblemas e tesouros</x:v>
      </x:c>
      <x:c r="M50" s="78" t="str">
        <x:v>Primeiro confronto com Wesker, antes de 7 minutos</x:v>
      </x:c>
      <x:c r="N50" s="78" t="str">
        <x:v>Dano suficiente antes de Wesker sair por tempo</x:v>
      </x:c>
      <x:c r="O50" s="78" t="str">
        <x:v>Cause dano até Wesker encerrar o confronto antes do limite de 7 minutos. Com Infinite Rocket, faça-o segurar o foguete e detone-o; depois aplique o golpe/tiro de seguimento.</x:v>
      </x:c>
      <x:c r="P50" s="78" t="str">
        <x:v>Apenas sobreviver 7 minutos; isso não cumpre o dano e não gera Heart of Africa.</x:v>
      </x:c>
      <x:c r="Q50" s="78" t="str">
        <x:v>Ataque ativamente e confirme a saída antecipada.</x:v>
      </x:c>
      <x:c r="R50" s="78" t="str">
        <x:v>Repita 5-3; o tesouro aparece na fase de Jill após sucesso.</x:v>
      </x:c>
      <x:c r="S50" s="78" t="str">
        <x:v>Chapter Select</x:v>
      </x:c>
      <x:c r="T50" s="78" t="str">
        <x:v>—</x:v>
      </x:c>
      <x:c r="U50" s="78" t="str">
        <x:v>Heart of Africa; They Belong in a Museum</x:v>
      </x:c>
      <x:c r="V50" s="78" t="str">
        <x:v>S05; S06</x:v>
      </x:c>
      <x:c r="W50" s="78" t="str">
        <x:v>Alta</x:v>
      </x:c>
      <x:c r="X50" s="78" t="str">
        <x:v>Confirmado</x:v>
      </x:c>
    </x:row>
    <x:row r="51">
      <x:c r="A51" s="74" t="str">
        <x:v>048</x:v>
      </x:c>
      <x:c r="B51" s="74" t="str">
        <x:v>Drive By</x:v>
      </x:c>
      <x:c r="C51" s="74" t="str">
        <x:v>Prata</x:v>
      </x:c>
      <x:c r="D51" s="74" t="str">
        <x:v>Jogo-base</x:v>
      </x:c>
      <x:c r="E51" s="74" t="str">
        <x:v>Stop an armored truck by taking out the driver.</x:v>
      </x:c>
      <x:c r="F51" s="74" t="str">
        <x:v>Campanha; capítulo; combate</x:v>
      </x:c>
      <x:c r="G51" s="74" t="str">
        <x:v>Condicional — capítulo</x:v>
      </x:c>
      <x:c r="H51" s="74" t="str">
        <x:v>Não</x:v>
      </x:c>
      <x:c r="I51" s="74" t="str">
        <x:v>Opcional</x:v>
      </x:c>
      <x:c r="J51" s="74" t="str">
        <x:v>Não</x:v>
      </x:c>
      <x:c r="K51" s="74" t="str">
        <x:v>Campanha 1 — Normal</x:v>
      </x:c>
      <x:c r="L51" s="74" t="str">
        <x:v>Etapa 1 — Normal: campanha, emblemas e tesouros</x:v>
      </x:c>
      <x:c r="M51" s="74" t="str">
        <x:v>2-3, perseguição do caminhão blindado</x:v>
      </x:c>
      <x:c r="N51" s="74" t="str">
        <x:v>Motorista visível</x:v>
      </x:c>
      <x:c r="O51" s="74" t="str">
        <x:v>Atire no motorista pela janela e mate-o antes que o veículo seja destruído por dano geral.</x:v>
      </x:c>
      <x:c r="P51" s="74" t="str">
        <x:v>Destruir o caminhão primeiro, especialmente com a IA atirando.</x:v>
      </x:c>
      <x:c r="Q51" s="74" t="str">
        <x:v>Mire exclusivamente na cabine/motorista e evite fogo indiscriminado.</x:v>
      </x:c>
      <x:c r="R51" s="74" t="str">
        <x:v>Repita 2-3.</x:v>
      </x:c>
      <x:c r="S51" s="74" t="str">
        <x:v>Chapter Select</x:v>
      </x:c>
      <x:c r="T51" s="74" t="str">
        <x:v>—</x:v>
      </x:c>
      <x:c r="U51" s="74" t="str">
        <x:v>Sequência montada</x:v>
      </x:c>
      <x:c r="V51" s="74" t="str">
        <x:v>S05; S06</x:v>
      </x:c>
      <x:c r="W51" s="74" t="str">
        <x:v>Alta</x:v>
      </x:c>
      <x:c r="X51" s="74" t="str">
        <x:v>Confirmado</x:v>
      </x:c>
    </x:row>
    <x:row r="52">
      <x:c r="A52" s="78" t="str">
        <x:v>049</x:v>
      </x:c>
      <x:c r="B52" s="78" t="str">
        <x:v>Egg on Your Face</x:v>
      </x:c>
      <x:c r="C52" s="78" t="str">
        <x:v>Bronze</x:v>
      </x:c>
      <x:c r="D52" s="78" t="str">
        <x:v>Jogo-base</x:v>
      </x:c>
      <x:c r="E52" s="78" t="str">
        <x:v>Defeat a Majini with a rotten egg.</x:v>
      </x:c>
      <x:c r="F52" s="78" t="str">
        <x:v>Combate; inventário</x:v>
      </x:c>
      <x:c r="G52" s="78" t="str">
        <x:v>Não</x:v>
      </x:c>
      <x:c r="H52" s="78" t="str">
        <x:v>Não</x:v>
      </x:c>
      <x:c r="I52" s="78" t="str">
        <x:v>Opcional</x:v>
      </x:c>
      <x:c r="J52" s="78" t="str">
        <x:v>Não</x:v>
      </x:c>
      <x:c r="K52" s="78" t="str">
        <x:v>Campanha 2 — Amateur / Chapter Select</x:v>
      </x:c>
      <x:c r="L52" s="78" t="str">
        <x:v>Etapa 2 — Amateur: rank S, sub-5h e limpeza base</x:v>
      </x:c>
      <x:c r="M52" s="78" t="str">
        <x:v>Qualquer Majini em Amateur</x:v>
      </x:c>
      <x:c r="N52" s="78" t="str">
        <x:v>Rotten Egg</x:v>
      </x:c>
      <x:c r="O52" s="78" t="str">
        <x:v>Enfraqueça um Majini e arremesse um Rotten Egg para dar o golpe final.</x:v>
      </x:c>
      <x:c r="P52" s="78" t="str">
        <x:v>Gastar o único Rotten Egg necessário para Egg Hunt.</x:v>
      </x:c>
      <x:c r="Q52" s="78" t="str">
        <x:v>Guarde dois ou obtenha Egg Hunt antes.</x:v>
      </x:c>
      <x:c r="R52" s="78" t="str">
        <x:v>Farm de Rotten Egg e nova tentativa.</x:v>
      </x:c>
      <x:c r="S52" s="78" t="str">
        <x:v>Sim</x:v>
      </x:c>
      <x:c r="T52" s="78" t="str">
        <x:v>—</x:v>
      </x:c>
      <x:c r="U52" s="78" t="str">
        <x:v>Egg Hunt</x:v>
      </x:c>
      <x:c r="V52" s="78" t="str">
        <x:v>S05; S06</x:v>
      </x:c>
      <x:c r="W52" s="78" t="str">
        <x:v>Alta</x:v>
      </x:c>
      <x:c r="X52" s="78" t="str">
        <x:v>Confirmado</x:v>
      </x:c>
    </x:row>
    <x:row r="53">
      <x:c r="A53" s="74" t="str">
        <x:v>050</x:v>
      </x:c>
      <x:c r="B53" s="74" t="str">
        <x:v>Heart Stopper</x:v>
      </x:c>
      <x:c r="C53" s="74" t="str">
        <x:v>Bronze</x:v>
      </x:c>
      <x:c r="D53" s="74" t="str">
        <x:v>Jogo-base</x:v>
      </x:c>
      <x:c r="E53" s="74" t="str">
        <x:v>Defeat a certain enemy by stabbing it in the heart.</x:v>
      </x:c>
      <x:c r="F53" s="74" t="str">
        <x:v>Combate; inimigo específico; capítulo</x:v>
      </x:c>
      <x:c r="G53" s="74" t="str">
        <x:v>Não</x:v>
      </x:c>
      <x:c r="H53" s="74" t="str">
        <x:v>Não</x:v>
      </x:c>
      <x:c r="I53" s="74" t="str">
        <x:v>Opcional</x:v>
      </x:c>
      <x:c r="J53" s="74" t="str">
        <x:v>Não</x:v>
      </x:c>
      <x:c r="K53" s="74" t="str">
        <x:v>Campanha 1 — Normal</x:v>
      </x:c>
      <x:c r="L53" s="74" t="str">
        <x:v>Etapa 1 — Normal: campanha, emblemas e tesouros</x:v>
      </x:c>
      <x:c r="M53" s="74" t="str">
        <x:v>5-1 a 5-3</x:v>
      </x:c>
      <x:c r="N53" s="74" t="str">
        <x:v>Licker Beta derrubado de costas</x:v>
      </x:c>
      <x:c r="O53" s="74" t="str">
        <x:v>Derrube um Licker Beta para deixá-lo de costas, aproxime-se e use o comando de ataque ao coração.</x:v>
      </x:c>
      <x:c r="P53" s="74" t="str">
        <x:v>Matar com tiros ou IA finalizar.</x:v>
      </x:c>
      <x:c r="Q53" s="74" t="str">
        <x:v>Use shotgun/granada para derrubar, retire arma da IA.</x:v>
      </x:c>
      <x:c r="R53" s="74" t="str">
        <x:v>Repita encontro em 5-1/5-2.</x:v>
      </x:c>
      <x:c r="S53" s="74" t="str">
        <x:v>Chapter Select</x:v>
      </x:c>
      <x:c r="T53" s="74" t="str">
        <x:v>—</x:v>
      </x:c>
      <x:c r="U53" s="74" t="str">
        <x:v>Licker Beta</x:v>
      </x:c>
      <x:c r="V53" s="74" t="str">
        <x:v>S05; S06</x:v>
      </x:c>
      <x:c r="W53" s="74" t="str">
        <x:v>Alta</x:v>
      </x:c>
      <x:c r="X53" s="74" t="str">
        <x:v>Confirmado</x:v>
      </x:c>
    </x:row>
    <x:row r="54">
      <x:c r="A54" s="78" t="str">
        <x:v>051</x:v>
      </x:c>
      <x:c r="B54" s="78" t="str">
        <x:v>Who Do You Trust?</x:v>
      </x:c>
      <x:c r="C54" s="78" t="str">
        <x:v>Prata</x:v>
      </x:c>
      <x:c r="D54" s="78" t="str">
        <x:v>Jogo-base</x:v>
      </x:c>
      <x:c r="E54" s="78" t="str">
        <x:v>Build up a certain level of trust with your partner.</x:v>
      </x:c>
      <x:c r="F54" s="78" t="str">
        <x:v>Coop com IA; cumulativo</x:v>
      </x:c>
      <x:c r="G54" s="78" t="str">
        <x:v>Não</x:v>
      </x:c>
      <x:c r="H54" s="78" t="str">
        <x:v>Não</x:v>
      </x:c>
      <x:c r="I54" s="78" t="str">
        <x:v>IA obrigatória</x:v>
      </x:c>
      <x:c r="J54" s="78" t="str">
        <x:v>Sim</x:v>
      </x:c>
      <x:c r="K54" s="78" t="str">
        <x:v>Campanha 2 — Amateur / Chapter Select</x:v>
      </x:c>
      <x:c r="L54" s="78" t="str">
        <x:v>Etapa 2 — Amateur: rank S, sub-5h e limpeza base</x:v>
      </x:c>
      <x:c r="M54" s="78" t="str">
        <x:v>Sessão solo; loop controlado</x:v>
      </x:c>
      <x:c r="N54" s="78" t="str">
        <x:v>Parceiro controlado pela IA</x:v>
      </x:c>
      <x:c r="O54" s="78" t="str">
        <x:v>Jogue sem parceiro humano. Faça a IA curar/resgatar/entregar item e pressione Círculo para agradecer repetidamente; um loop de dano leve e cura acelera a confiança.</x:v>
      </x:c>
      <x:c r="P54" s="78" t="str">
        <x:v>Coop humano não aumenta a variável de confiança da IA; esquecer de agradecer.</x:v>
      </x:c>
      <x:c r="Q54" s="78" t="str">
        <x:v>Faça sessão solo e responda imediatamente a cada ajuda.</x:v>
      </x:c>
      <x:c r="R54" s="78" t="str">
        <x:v>Continue o loop em qualquer capítulo até desbloquear.</x:v>
      </x:c>
      <x:c r="S54" s="78" t="str">
        <x:v>Sim</x:v>
      </x:c>
      <x:c r="T54" s="78" t="str">
        <x:v>—</x:v>
      </x:c>
      <x:c r="U54" s="78" t="str">
        <x:v>IA parceira</x:v>
      </x:c>
      <x:c r="V54" s="78" t="str">
        <x:v>S06</x:v>
      </x:c>
      <x:c r="W54" s="78" t="str">
        <x:v>Alta</x:v>
      </x:c>
      <x:c r="X54" s="78" t="str">
        <x:v>Confirmado</x:v>
      </x:c>
    </x:row>
    <x:row r="55">
      <x:c r="A55" s="74" t="str">
        <x:v>052</x:v>
      </x:c>
      <x:c r="B55" s="74" t="str">
        <x:v>Army of One</x:v>
      </x:c>
      <x:c r="C55" s="74" t="str">
        <x:v>Bronze</x:v>
      </x:c>
      <x:c r="D55" s="74" t="str">
        <x:v>Versus</x:v>
      </x:c>
      <x:c r="E55" s="74" t="str">
        <x:v>Win 15 matches in Slayers.</x:v>
      </x:c>
      <x:c r="F55" s="74" t="str">
        <x:v>Online; Versus; vitórias</x:v>
      </x:c>
      <x:c r="G55" s="74" t="str">
        <x:v>Não</x:v>
      </x:c>
      <x:c r="H55" s="74" t="str">
        <x:v>Sim</x:v>
      </x:c>
      <x:c r="I55" s="74" t="str">
        <x:v>Competitivo</x:v>
      </x:c>
      <x:c r="J55" s="74" t="str">
        <x:v>Não</x:v>
      </x:c>
      <x:c r="K55" s="74" t="str">
        <x:v>Versus — boost organizado</x:v>
      </x:c>
      <x:c r="L55" s="74" t="str">
        <x:v>Etapa 5 — Versus</x:v>
      </x:c>
      <x:c r="M55" s="74" t="str">
        <x:v>Slayers</x:v>
      </x:c>
      <x:c r="N55" s="74" t="str">
        <x:v>2 jogadores; 15 vitórias</x:v>
      </x:c>
      <x:c r="O55" s="74" t="str">
        <x:v>Vença 15 partidas de Slayers. Em boost de 4 contas, alterne os vencedores e acumule combo/abates físicos na mesma sessão.</x:v>
      </x:c>
      <x:c r="P55" s="74" t="str">
        <x:v>Usar requisito PS3 antigo de 30 e perder tempo.</x:v>
      </x:c>
      <x:c r="Q55" s="74" t="str">
        <x:v>Aplicar valor PS4: 15.</x:v>
      </x:c>
      <x:c r="R55" s="74" t="str">
        <x:v>Continuar vencendo; progresso cumulativo online.</x:v>
      </x:c>
      <x:c r="S55" s="74" t="str">
        <x:v>Online</x:v>
      </x:c>
      <x:c r="T55" s="74" t="str">
        <x:v>—</x:v>
      </x:c>
      <x:c r="U55" s="74" t="str">
        <x:v>PS Plus; matchmaking</x:v>
      </x:c>
      <x:c r="V55" s="74" t="str">
        <x:v>S05; S07</x:v>
      </x:c>
      <x:c r="W55" s="74" t="str">
        <x:v>Alta</x:v>
      </x:c>
      <x:c r="X55" s="74" t="str">
        <x:v>Confirmado</x:v>
      </x:c>
    </x:row>
    <x:row r="56">
      <x:c r="A56" s="78" t="str">
        <x:v>053</x:v>
      </x:c>
      <x:c r="B56" s="78" t="str">
        <x:v>Eye of the Tiger</x:v>
      </x:c>
      <x:c r="C56" s="78" t="str">
        <x:v>Bronze</x:v>
      </x:c>
      <x:c r="D56" s="78" t="str">
        <x:v>Versus</x:v>
      </x:c>
      <x:c r="E56" s="78" t="str">
        <x:v>Win 15 matches in Survivors.</x:v>
      </x:c>
      <x:c r="F56" s="78" t="str">
        <x:v>Online; Versus; vitórias</x:v>
      </x:c>
      <x:c r="G56" s="78" t="str">
        <x:v>Não</x:v>
      </x:c>
      <x:c r="H56" s="78" t="str">
        <x:v>Sim</x:v>
      </x:c>
      <x:c r="I56" s="78" t="str">
        <x:v>Competitivo</x:v>
      </x:c>
      <x:c r="J56" s="78" t="str">
        <x:v>Não</x:v>
      </x:c>
      <x:c r="K56" s="78" t="str">
        <x:v>Versus — boost organizado</x:v>
      </x:c>
      <x:c r="L56" s="78" t="str">
        <x:v>Etapa 5 — Versus</x:v>
      </x:c>
      <x:c r="M56" s="78" t="str">
        <x:v>Survivors</x:v>
      </x:c>
      <x:c r="N56" s="78" t="str">
        <x:v>2 jogadores; 15 vitórias</x:v>
      </x:c>
      <x:c r="O56" s="78" t="str">
        <x:v>Vença 15 partidas de Survivors; combine com a tentativa de 40.000 pontos.</x:v>
      </x:c>
      <x:c r="P56" s="78" t="str">
        <x:v>Matchmaking vazio ou vitória não concluída.</x:v>
      </x:c>
      <x:c r="Q56" s="78" t="str">
        <x:v>Boost privado/agendado e deixe a partida terminar normalmente.</x:v>
      </x:c>
      <x:c r="R56" s="78" t="str">
        <x:v>Repetir partidas.</x:v>
      </x:c>
      <x:c r="S56" s="78" t="str">
        <x:v>Online</x:v>
      </x:c>
      <x:c r="T56" s="78" t="str">
        <x:v>—</x:v>
      </x:c>
      <x:c r="U56" s="78" t="str">
        <x:v>PS Plus</x:v>
      </x:c>
      <x:c r="V56" s="78" t="str">
        <x:v>S05; S07</x:v>
      </x:c>
      <x:c r="W56" s="78" t="str">
        <x:v>Alta</x:v>
      </x:c>
      <x:c r="X56" s="78" t="str">
        <x:v>Confirmado</x:v>
      </x:c>
    </x:row>
    <x:row r="57">
      <x:c r="A57" s="74" t="str">
        <x:v>054</x:v>
      </x:c>
      <x:c r="B57" s="74" t="str">
        <x:v>The Team That Slays Together...</x:v>
      </x:c>
      <x:c r="C57" s="74" t="str">
        <x:v>Prata</x:v>
      </x:c>
      <x:c r="D57" s="74" t="str">
        <x:v>Versus</x:v>
      </x:c>
      <x:c r="E57" s="74" t="str">
        <x:v>Win 15 matches in Team Slayers.</x:v>
      </x:c>
      <x:c r="F57" s="74" t="str">
        <x:v>Online; Versus; equipe; vitórias</x:v>
      </x:c>
      <x:c r="G57" s="74" t="str">
        <x:v>Não</x:v>
      </x:c>
      <x:c r="H57" s="74" t="str">
        <x:v>Sim</x:v>
      </x:c>
      <x:c r="I57" s="74" t="str">
        <x:v>Competitivo</x:v>
      </x:c>
      <x:c r="J57" s="74" t="str">
        <x:v>Não</x:v>
      </x:c>
      <x:c r="K57" s="74" t="str">
        <x:v>Versus — boost organizado</x:v>
      </x:c>
      <x:c r="L57" s="74" t="str">
        <x:v>Etapa 5 — Versus</x:v>
      </x:c>
      <x:c r="M57" s="74" t="str">
        <x:v>Team Slayers</x:v>
      </x:c>
      <x:c r="N57" s="74" t="str">
        <x:v>4 jogadores/contas; 15 vitórias da equipe</x:v>
      </x:c>
      <x:c r="O57" s="74" t="str">
        <x:v>Monte lobby 2v2 e vença 15 partidas de Team Slayers com a conta-alvo na equipe vencedora; combine com combo de 40.</x:v>
      </x:c>
      <x:c r="P57" s="74" t="str">
        <x:v>Tentar com menos de quatro ou sair antes do resultado.</x:v>
      </x:c>
      <x:c r="Q57" s="74" t="str">
        <x:v>Quatro contas estáveis e rotação documentada.</x:v>
      </x:c>
      <x:c r="R57" s="74" t="str">
        <x:v>Repetir partidas.</x:v>
      </x:c>
      <x:c r="S57" s="74" t="str">
        <x:v>Online</x:v>
      </x:c>
      <x:c r="T57" s="74" t="str">
        <x:v>—</x:v>
      </x:c>
      <x:c r="U57" s="74" t="str">
        <x:v>PS Plus; 4 jogadores</x:v>
      </x:c>
      <x:c r="V57" s="74" t="str">
        <x:v>S05; S07</x:v>
      </x:c>
      <x:c r="W57" s="74" t="str">
        <x:v>Alta</x:v>
      </x:c>
      <x:c r="X57" s="74" t="str">
        <x:v>Confirmado</x:v>
      </x:c>
    </x:row>
    <x:row r="58">
      <x:c r="A58" s="78" t="str">
        <x:v>055</x:v>
      </x:c>
      <x:c r="B58" s="78" t="str">
        <x:v>We Will Survive</x:v>
      </x:c>
      <x:c r="C58" s="78" t="str">
        <x:v>Prata</x:v>
      </x:c>
      <x:c r="D58" s="78" t="str">
        <x:v>Versus</x:v>
      </x:c>
      <x:c r="E58" s="78" t="str">
        <x:v>Win 15 matches in Team Survivors.</x:v>
      </x:c>
      <x:c r="F58" s="78" t="str">
        <x:v>Online; Versus; equipe; vitórias</x:v>
      </x:c>
      <x:c r="G58" s="78" t="str">
        <x:v>Não</x:v>
      </x:c>
      <x:c r="H58" s="78" t="str">
        <x:v>Sim</x:v>
      </x:c>
      <x:c r="I58" s="78" t="str">
        <x:v>Competitivo</x:v>
      </x:c>
      <x:c r="J58" s="78" t="str">
        <x:v>Não</x:v>
      </x:c>
      <x:c r="K58" s="78" t="str">
        <x:v>Versus — boost organizado</x:v>
      </x:c>
      <x:c r="L58" s="78" t="str">
        <x:v>Etapa 5 — Versus</x:v>
      </x:c>
      <x:c r="M58" s="78" t="str">
        <x:v>Team Survivors</x:v>
      </x:c>
      <x:c r="N58" s="78" t="str">
        <x:v>4 jogadores/contas; 15 vitórias da equipe</x:v>
      </x:c>
      <x:c r="O58" s="78" t="str">
        <x:v>Vença 15 partidas de Team Survivors em lobby 2v2; combine com 80.000 pontos.</x:v>
      </x:c>
      <x:c r="P58" s="78" t="str">
        <x:v>Confundir pontuação da equipe com individual.</x:v>
      </x:c>
      <x:c r="Q58" s="78" t="str">
        <x:v>Mantenha os dois alvos da equipe cooperando e confira placar final.</x:v>
      </x:c>
      <x:c r="R58" s="78" t="str">
        <x:v>Repetir partidas.</x:v>
      </x:c>
      <x:c r="S58" s="78" t="str">
        <x:v>Online</x:v>
      </x:c>
      <x:c r="T58" s="78" t="str">
        <x:v>—</x:v>
      </x:c>
      <x:c r="U58" s="78" t="str">
        <x:v>PS Plus; 4 jogadores</x:v>
      </x:c>
      <x:c r="V58" s="78" t="str">
        <x:v>S05; S07</x:v>
      </x:c>
      <x:c r="W58" s="78" t="str">
        <x:v>Alta</x:v>
      </x:c>
      <x:c r="X58" s="78" t="str">
        <x:v>Confirmado</x:v>
      </x:c>
    </x:row>
    <x:row r="59">
      <x:c r="A59" s="74" t="str">
        <x:v>056</x:v>
      </x:c>
      <x:c r="B59" s="74" t="str">
        <x:v>Keep the Good Times Rolling</x:v>
      </x:c>
      <x:c r="C59" s="74" t="str">
        <x:v>Bronze</x:v>
      </x:c>
      <x:c r="D59" s="74" t="str">
        <x:v>Versus</x:v>
      </x:c>
      <x:c r="E59" s="74" t="str">
        <x:v>Chain a 20-defeated combo in Slayers.</x:v>
      </x:c>
      <x:c r="F59" s="74" t="str">
        <x:v>Online; Versus; combo</x:v>
      </x:c>
      <x:c r="G59" s="74" t="str">
        <x:v>Não</x:v>
      </x:c>
      <x:c r="H59" s="74" t="str">
        <x:v>Sim</x:v>
      </x:c>
      <x:c r="I59" s="74" t="str">
        <x:v>Competitivo</x:v>
      </x:c>
      <x:c r="J59" s="74" t="str">
        <x:v>Não</x:v>
      </x:c>
      <x:c r="K59" s="74" t="str">
        <x:v>Versus — boost organizado</x:v>
      </x:c>
      <x:c r="L59" s="74" t="str">
        <x:v>Etapa 5 — Versus</x:v>
      </x:c>
      <x:c r="M59" s="74" t="str">
        <x:v>Slayers</x:v>
      </x:c>
      <x:c r="N59" s="74" t="str">
        <x:v>2 jogadores; 20 derrotados sem quebrar combo</x:v>
      </x:c>
      <x:c r="O59" s="74" t="str">
        <x:v>Em Slayers, mantenha o contador ativo e derrote 20 inimigos em sequência antes de o tempo do combo zerar; o parceiro pode evitar interferência.</x:v>
      </x:c>
      <x:c r="P59" s="74" t="str">
        <x:v>Intervalo longo quebrar o combo.</x:v>
      </x:c>
      <x:c r="Q59" s="74" t="str">
        <x:v>Roteie áreas densas e use bônus de tempo do combo.</x:v>
      </x:c>
      <x:c r="R59" s="74" t="str">
        <x:v>Nova partida.</x:v>
      </x:c>
      <x:c r="S59" s="74" t="str">
        <x:v>Online</x:v>
      </x:c>
      <x:c r="T59" s="74" t="str">
        <x:v>—</x:v>
      </x:c>
      <x:c r="U59" s="74" t="str">
        <x:v>Army of One</x:v>
      </x:c>
      <x:c r="V59" s="74" t="str">
        <x:v>S05; S06</x:v>
      </x:c>
      <x:c r="W59" s="74" t="str">
        <x:v>Alta</x:v>
      </x:c>
      <x:c r="X59" s="74" t="str">
        <x:v>Confirmado</x:v>
      </x:c>
    </x:row>
    <x:row r="60">
      <x:c r="A60" s="78" t="str">
        <x:v>057</x:v>
      </x:c>
      <x:c r="B60" s="78" t="str">
        <x:v>It Takes Two to Tango</x:v>
      </x:c>
      <x:c r="C60" s="78" t="str">
        <x:v>Bronze</x:v>
      </x:c>
      <x:c r="D60" s="78" t="str">
        <x:v>Versus</x:v>
      </x:c>
      <x:c r="E60" s="78" t="str">
        <x:v>Chain a 40-defeated combo in Team Slayers.</x:v>
      </x:c>
      <x:c r="F60" s="78" t="str">
        <x:v>Online; Versus; combo em equipe</x:v>
      </x:c>
      <x:c r="G60" s="78" t="str">
        <x:v>Não</x:v>
      </x:c>
      <x:c r="H60" s="78" t="str">
        <x:v>Sim</x:v>
      </x:c>
      <x:c r="I60" s="78" t="str">
        <x:v>Competitivo</x:v>
      </x:c>
      <x:c r="J60" s="78" t="str">
        <x:v>Não</x:v>
      </x:c>
      <x:c r="K60" s="78" t="str">
        <x:v>Versus — boost organizado</x:v>
      </x:c>
      <x:c r="L60" s="78" t="str">
        <x:v>Etapa 5 — Versus</x:v>
      </x:c>
      <x:c r="M60" s="78" t="str">
        <x:v>Team Slayers</x:v>
      </x:c>
      <x:c r="N60" s="78" t="str">
        <x:v>4 jogadores; combo de equipe 40</x:v>
      </x:c>
      <x:c r="O60" s="78" t="str">
        <x:v>Em Team Slayers, os dois membros da equipe alternam/encadeiam eliminações até o contador compartilhado chegar a 40.</x:v>
      </x:c>
      <x:c r="P60" s="78" t="str">
        <x:v>Uma morte fora da janela quebrar o combo.</x:v>
      </x:c>
      <x:c r="Q60" s="78" t="str">
        <x:v>Use lobby de boost, mapa conhecido e não ataque a equipe adversária.</x:v>
      </x:c>
      <x:c r="R60" s="78" t="str">
        <x:v>Nova partida.</x:v>
      </x:c>
      <x:c r="S60" s="78" t="str">
        <x:v>Online</x:v>
      </x:c>
      <x:c r="T60" s="78" t="str">
        <x:v>—</x:v>
      </x:c>
      <x:c r="U60" s="78" t="str">
        <x:v>Team Slayers; 4 jogadores</x:v>
      </x:c>
      <x:c r="V60" s="78" t="str">
        <x:v>S05; S06</x:v>
      </x:c>
      <x:c r="W60" s="78" t="str">
        <x:v>Alta</x:v>
      </x:c>
      <x:c r="X60" s="78" t="str">
        <x:v>Confirmado</x:v>
      </x:c>
    </x:row>
    <x:row r="61">
      <x:c r="A61" s="74" t="str">
        <x:v>058</x:v>
      </x:c>
      <x:c r="B61" s="74" t="str">
        <x:v>It's All About the Points</x:v>
      </x:c>
      <x:c r="C61" s="74" t="str">
        <x:v>Bronze</x:v>
      </x:c>
      <x:c r="D61" s="74" t="str">
        <x:v>Versus</x:v>
      </x:c>
      <x:c r="E61" s="74" t="str">
        <x:v>Score at least 40,000 points in Survivors.</x:v>
      </x:c>
      <x:c r="F61" s="74" t="str">
        <x:v>Online; Versus; pontuação</x:v>
      </x:c>
      <x:c r="G61" s="74" t="str">
        <x:v>Não</x:v>
      </x:c>
      <x:c r="H61" s="74" t="str">
        <x:v>Sim</x:v>
      </x:c>
      <x:c r="I61" s="74" t="str">
        <x:v>Competitivo</x:v>
      </x:c>
      <x:c r="J61" s="74" t="str">
        <x:v>Não</x:v>
      </x:c>
      <x:c r="K61" s="74" t="str">
        <x:v>Versus — boost organizado</x:v>
      </x:c>
      <x:c r="L61" s="74" t="str">
        <x:v>Etapa 5 — Versus</x:v>
      </x:c>
      <x:c r="M61" s="74" t="str">
        <x:v>Survivors</x:v>
      </x:c>
      <x:c r="N61" s="74" t="str">
        <x:v>2 jogadores; 40.000 pontos individuais</x:v>
      </x:c>
      <x:c r="O61" s="74" t="str">
        <x:v>Em Survivors, a conta-alvo elimina repetidamente o parceiro/derrota inimigos até alcançar 40.000 antes do fim.</x:v>
      </x:c>
      <x:c r="P61" s="74" t="str">
        <x:v>Pontuação insuficiente por mapa/tempo.</x:v>
      </x:c>
      <x:c r="Q61" s="74" t="str">
        <x:v>Escolha duração máxima e concentre todas as oportunidades na conta-alvo.</x:v>
      </x:c>
      <x:c r="R61" s="74" t="str">
        <x:v>Nova partida.</x:v>
      </x:c>
      <x:c r="S61" s="74" t="str">
        <x:v>Online</x:v>
      </x:c>
      <x:c r="T61" s="74" t="str">
        <x:v>—</x:v>
      </x:c>
      <x:c r="U61" s="74" t="str">
        <x:v>Eye of the Tiger</x:v>
      </x:c>
      <x:c r="V61" s="74" t="str">
        <x:v>S05; S06</x:v>
      </x:c>
      <x:c r="W61" s="74" t="str">
        <x:v>Alta</x:v>
      </x:c>
      <x:c r="X61" s="74" t="str">
        <x:v>Confirmado</x:v>
      </x:c>
    </x:row>
    <x:row r="62">
      <x:c r="A62" s="78" t="str">
        <x:v>059</x:v>
      </x:c>
      <x:c r="B62" s="78" t="str">
        <x:v>There's no "I" in Team</x:v>
      </x:c>
      <x:c r="C62" s="78" t="str">
        <x:v>Bronze</x:v>
      </x:c>
      <x:c r="D62" s="78" t="str">
        <x:v>Versus</x:v>
      </x:c>
      <x:c r="E62" s="78" t="str">
        <x:v>Score at least 80,000 points in Team Survivors.</x:v>
      </x:c>
      <x:c r="F62" s="78" t="str">
        <x:v>Online; Versus; pontuação em equipe</x:v>
      </x:c>
      <x:c r="G62" s="78" t="str">
        <x:v>Não</x:v>
      </x:c>
      <x:c r="H62" s="78" t="str">
        <x:v>Sim</x:v>
      </x:c>
      <x:c r="I62" s="78" t="str">
        <x:v>Competitivo</x:v>
      </x:c>
      <x:c r="J62" s="78" t="str">
        <x:v>Não</x:v>
      </x:c>
      <x:c r="K62" s="78" t="str">
        <x:v>Versus — boost organizado</x:v>
      </x:c>
      <x:c r="L62" s="78" t="str">
        <x:v>Etapa 5 — Versus</x:v>
      </x:c>
      <x:c r="M62" s="78" t="str">
        <x:v>Team Survivors</x:v>
      </x:c>
      <x:c r="N62" s="78" t="str">
        <x:v>4 jogadores; 80.000 pontos da equipe</x:v>
      </x:c>
      <x:c r="O62" s="78" t="str">
        <x:v>Em Team Survivors, concentre eliminações e dano na equipe-alvo até o placar conjunto atingir 80.000.</x:v>
      </x:c>
      <x:c r="P62" s="78" t="str">
        <x:v>Distribuir pontos entre as duas equipes.</x:v>
      </x:c>
      <x:c r="Q62" s="78" t="str">
        <x:v>Equipe adversária não pontua e retorna ao ponto combinado.</x:v>
      </x:c>
      <x:c r="R62" s="78" t="str">
        <x:v>Nova partida.</x:v>
      </x:c>
      <x:c r="S62" s="78" t="str">
        <x:v>Online</x:v>
      </x:c>
      <x:c r="T62" s="78" t="str">
        <x:v>—</x:v>
      </x:c>
      <x:c r="U62" s="78" t="str">
        <x:v>We Will Survive; 4 jogadores</x:v>
      </x:c>
      <x:c r="V62" s="78" t="str">
        <x:v>S05; S06</x:v>
      </x:c>
      <x:c r="W62" s="78" t="str">
        <x:v>Alta</x:v>
      </x:c>
      <x:c r="X62" s="78" t="str">
        <x:v>Confirmado</x:v>
      </x:c>
    </x:row>
    <x:row r="63">
      <x:c r="A63" s="74" t="str">
        <x:v>060</x:v>
      </x:c>
      <x:c r="B63" s="74" t="str">
        <x:v>Let's Get This Party Started!</x:v>
      </x:c>
      <x:c r="C63" s="74" t="str">
        <x:v>Bronze</x:v>
      </x:c>
      <x:c r="D63" s="74" t="str">
        <x:v>Versus</x:v>
      </x:c>
      <x:c r="E63" s="74" t="str">
        <x:v>Unlock all selectable characters in Versus.</x:v>
      </x:c>
      <x:c r="F63" s="74" t="str">
        <x:v>Versus; Bonus Features; economia</x:v>
      </x:c>
      <x:c r="G63" s="74" t="str">
        <x:v>Não</x:v>
      </x:c>
      <x:c r="H63" s="74" t="str">
        <x:v>Sim</x:v>
      </x:c>
      <x:c r="I63" s="74" t="str">
        <x:v>Competitivo</x:v>
      </x:c>
      <x:c r="J63" s="74" t="str">
        <x:v>Não</x:v>
      </x:c>
      <x:c r="K63" s="74" t="str">
        <x:v>Versus — boost organizado</x:v>
      </x:c>
      <x:c r="L63" s="74" t="str">
        <x:v>Etapa 5 — Versus</x:v>
      </x:c>
      <x:c r="M63" s="74" t="str">
        <x:v>Antes ou durante o boost</x:v>
      </x:c>
      <x:c r="N63" s="74" t="str">
        <x:v>134.000 Exchange Points; 8 personagens adicionais</x:v>
      </x:c>
      <x:c r="O63" s="74" t="str">
        <x:v>Compre os oito personagens adicionais: Chris Safari, Chris S.T.A.R.S., Sheva Clubbin', Sheva Tribal, Jill BSAA, Jill Battle Suit, Wesker Midnight e Wesker S.T.A.R.S.</x:v>
      </x:c>
      <x:c r="P63" s="74" t="str">
        <x:v>Gastar EP em munição infinita/figuras e atrasar o total.</x:v>
      </x:c>
      <x:c r="Q63" s="74" t="str">
        <x:v>Planeje 156.000 EP para figuras-base + personagens Versus, fora infinitos.</x:v>
      </x:c>
      <x:c r="R63" s="74" t="str">
        <x:v>Farm de EP com ranks S em capítulos.</x:v>
      </x:c>
      <x:c r="S63" s="74" t="str">
        <x:v>Sim</x:v>
      </x:c>
      <x:c r="T63" s="74" t="str">
        <x:v>Backup externo opcional antes de gastos</x:v>
      </x:c>
      <x:c r="U63" s="74" t="str">
        <x:v>Exchange Points</x:v>
      </x:c>
      <x:c r="V63" s="74" t="str">
        <x:v>S05; S06</x:v>
      </x:c>
      <x:c r="W63" s="74" t="str">
        <x:v>Média-alta</x:v>
      </x:c>
      <x:c r="X63" s="74" t="str">
        <x:v>Confirmado</x:v>
      </x:c>
    </x:row>
    <x:row r="64">
      <x:c r="A64" s="78" t="str">
        <x:v>061</x:v>
      </x:c>
      <x:c r="B64" s="78" t="str">
        <x:v>Bringing the Pain</x:v>
      </x:c>
      <x:c r="C64" s="78" t="str">
        <x:v>Prata</x:v>
      </x:c>
      <x:c r="D64" s="78" t="str">
        <x:v>Versus</x:v>
      </x:c>
      <x:c r="E64" s="78" t="str">
        <x:v>Defeat 50 players using physical attacks in Versus.</x:v>
      </x:c>
      <x:c r="F64" s="78" t="str">
        <x:v>Online; Versus; combate; cumulativo</x:v>
      </x:c>
      <x:c r="G64" s="78" t="str">
        <x:v>Não</x:v>
      </x:c>
      <x:c r="H64" s="78" t="str">
        <x:v>Sim</x:v>
      </x:c>
      <x:c r="I64" s="78" t="str">
        <x:v>Competitivo</x:v>
      </x:c>
      <x:c r="J64" s="78" t="str">
        <x:v>Sim</x:v>
      </x:c>
      <x:c r="K64" s="78" t="str">
        <x:v>Versus — boost organizado</x:v>
      </x:c>
      <x:c r="L64" s="78" t="str">
        <x:v>Etapa 5 — Versus</x:v>
      </x:c>
      <x:c r="M64" s="78" t="str">
        <x:v>Qualquer modo Versus</x:v>
      </x:c>
      <x:c r="N64" s="78" t="str">
        <x:v>50 eliminações de jogadores com ataques físicos</x:v>
      </x:c>
      <x:c r="O64" s="78" t="str">
        <x:v>Atordoe o oponente e finalize com golpes físicos até somar 50 eliminações. Combine com as 60 vitórias-alvo.</x:v>
      </x:c>
      <x:c r="P64" s="78" t="str">
        <x:v>Usar requisito PS3 antigo de 100; tiro dar o golpe final.</x:v>
      </x:c>
      <x:c r="Q64" s="78" t="str">
        <x:v>Aplicar valor PS4 de 50 e registrar somente mortes por melee.</x:v>
      </x:c>
      <x:c r="R64" s="78" t="str">
        <x:v>Continuar em partidas futuras.</x:v>
      </x:c>
      <x:c r="S64" s="78" t="str">
        <x:v>Online</x:v>
      </x:c>
      <x:c r="T64" s="78" t="str">
        <x:v>—</x:v>
      </x:c>
      <x:c r="U64" s="78" t="str">
        <x:v>PS Plus; oponente cooperante</x:v>
      </x:c>
      <x:c r="V64" s="78" t="str">
        <x:v>S05; S07</x:v>
      </x:c>
      <x:c r="W64" s="78" t="str">
        <x:v>Alta</x:v>
      </x:c>
      <x:c r="X64" s="78" t="str">
        <x:v>Confirmado</x:v>
      </x:c>
    </x:row>
    <x:row r="65">
      <x:c r="A65" s="74" t="str">
        <x:v>062</x:v>
      </x:c>
      <x:c r="B65" s="74" t="str">
        <x:v>Must've Got Lost</x:v>
      </x:c>
      <x:c r="C65" s="74" t="str">
        <x:v>Bronze</x:v>
      </x:c>
      <x:c r="D65" s="74" t="str">
        <x:v>Lost in Nightmares</x:v>
      </x:c>
      <x:c r="E65" s="74" t="str">
        <x:v>Complete "Lost in Nightmares" on any difficulty setting.</x:v>
      </x:c>
      <x:c r="F65" s="74" t="str">
        <x:v>DLC; campanha; automático</x:v>
      </x:c>
      <x:c r="G65" s="74" t="str">
        <x:v>Não</x:v>
      </x:c>
      <x:c r="H65" s="74" t="str">
        <x:v>Não</x:v>
      </x:c>
      <x:c r="I65" s="74" t="str">
        <x:v>Opcional</x:v>
      </x:c>
      <x:c r="J65" s="74" t="str">
        <x:v>Não</x:v>
      </x:c>
      <x:c r="K65" s="74" t="str">
        <x:v>Lost — Passagem 1 (Amateur)</x:v>
      </x:c>
      <x:c r="L65" s="74" t="str">
        <x:v>Etapa 6 — Lost in Nightmares: objetivos</x:v>
      </x:c>
      <x:c r="M65" s="74" t="str">
        <x:v>Fim do episódio</x:v>
      </x:c>
      <x:c r="N65" s="74" t="str">
        <x:v>Lost desbloqueado após 3-1</x:v>
      </x:c>
      <x:c r="O65" s="74" t="str">
        <x:v>Conclua Lost in Nightmares em qualquer dificuldade.</x:v>
      </x:c>
      <x:c r="P65" s="74" t="str">
        <x:v>Nenhum risco permanente.</x:v>
      </x:c>
      <x:c r="Q65" s="74" t="str">
        <x:v>—</x:v>
      </x:c>
      <x:c r="R65" s="74" t="str">
        <x:v>Repetir episódio.</x:v>
      </x:c>
      <x:c r="S65" s="74" t="str">
        <x:v>Nova passagem DLC</x:v>
      </x:c>
      <x:c r="T65" s="74" t="str">
        <x:v>—</x:v>
      </x:c>
      <x:c r="U65" s="74" t="str">
        <x:v>Campanha principal 3-1</x:v>
      </x:c>
      <x:c r="V65" s="74" t="str">
        <x:v>S05; S08</x:v>
      </x:c>
      <x:c r="W65" s="74" t="str">
        <x:v>Alta</x:v>
      </x:c>
      <x:c r="X65" s="74" t="str">
        <x:v>Confirmado</x:v>
      </x:c>
    </x:row>
    <x:row r="66">
      <x:c r="A66" s="78" t="str">
        <x:v>063</x:v>
      </x:c>
      <x:c r="B66" s="78" t="str">
        <x:v>It's Just a Bad Dream!</x:v>
      </x:c>
      <x:c r="C66" s="78" t="str">
        <x:v>Bronze</x:v>
      </x:c>
      <x:c r="D66" s="78" t="str">
        <x:v>Lost in Nightmares</x:v>
      </x:c>
      <x:c r="E66" s="78" t="str">
        <x:v>Complete "Lost in Nightmares" with an S rank.</x:v>
      </x:c>
      <x:c r="F66" s="78" t="str">
        <x:v>DLC; rank S</x:v>
      </x:c>
      <x:c r="G66" s="78" t="str">
        <x:v>Não</x:v>
      </x:c>
      <x:c r="H66" s="78" t="str">
        <x:v>Não</x:v>
      </x:c>
      <x:c r="I66" s="78" t="str">
        <x:v>Opcional</x:v>
      </x:c>
      <x:c r="J66" s="78" t="str">
        <x:v>Não</x:v>
      </x:c>
      <x:c r="K66" s="78" t="str">
        <x:v>Lost — Passagem 1 (Amateur)</x:v>
      </x:c>
      <x:c r="L66" s="78" t="str">
        <x:v>Etapa 6 — Lost in Nightmares: objetivos</x:v>
      </x:c>
      <x:c r="M66" s="78" t="str">
        <x:v>Tela de resultados</x:v>
      </x:c>
      <x:c r="N66" s="78" t="str">
        <x:v>Pontuação/tempo/precisão/mortes suficientes para S</x:v>
      </x:c>
      <x:c r="O66" s="78" t="str">
        <x:v>Faça a passagem de objetivos em Amateur/Normal, destrua estrelas para pontos, evite mortes e conclua rapidamente para rank S.</x:v>
      </x:c>
      <x:c r="P66" s="78" t="str">
        <x:v>Combinar com Veteran/Professional elevar o risco de morte e piorar rank.</x:v>
      </x:c>
      <x:c r="Q66" s="78" t="str">
        <x:v>Faça na passagem baixa recomendada.</x:v>
      </x:c>
      <x:c r="R66" s="78" t="str">
        <x:v>Repita somente Lost em dificuldade baixa.</x:v>
      </x:c>
      <x:c r="S66" s="78" t="str">
        <x:v>Nova passagem DLC</x:v>
      </x:c>
      <x:c r="T66" s="78" t="str">
        <x:v>—</x:v>
      </x:c>
      <x:c r="U66" s="78" t="str">
        <x:v>Wish Upon a Star ajuda no score</x:v>
      </x:c>
      <x:c r="V66" s="78" t="str">
        <x:v>S05; S08</x:v>
      </x:c>
      <x:c r="W66" s="78" t="str">
        <x:v>Alta</x:v>
      </x:c>
      <x:c r="X66" s="78" t="str">
        <x:v>Confirmado</x:v>
      </x:c>
    </x:row>
    <x:row r="67">
      <x:c r="A67" s="74" t="str">
        <x:v>064</x:v>
      </x:c>
      <x:c r="B67" s="74" t="str">
        <x:v>Night Terrors</x:v>
      </x:c>
      <x:c r="C67" s="74" t="str">
        <x:v>Prata</x:v>
      </x:c>
      <x:c r="D67" s="74" t="str">
        <x:v>Lost in Nightmares</x:v>
      </x:c>
      <x:c r="E67" s="74" t="str">
        <x:v>Complete "Lost in Nightmares" on Professional.</x:v>
      </x:c>
      <x:c r="F67" s="74" t="str">
        <x:v>DLC; dificuldade</x:v>
      </x:c>
      <x:c r="G67" s="74" t="str">
        <x:v>Não</x:v>
      </x:c>
      <x:c r="H67" s="74" t="str">
        <x:v>Não</x:v>
      </x:c>
      <x:c r="I67" s="74" t="str">
        <x:v>Opcional</x:v>
      </x:c>
      <x:c r="J67" s="74" t="str">
        <x:v>Não</x:v>
      </x:c>
      <x:c r="K67" s="74" t="str">
        <x:v>Lost — Passagens 2 e 3</x:v>
      </x:c>
      <x:c r="L67" s="74" t="str">
        <x:v>Etapa 7 — Lost in Nightmares: Veteran e Professional</x:v>
      </x:c>
      <x:c r="M67" s="74" t="str">
        <x:v>Fim do episódio em Professional</x:v>
      </x:c>
      <x:c r="N67" s="74" t="str">
        <x:v>Concluir Lost no Veteran para liberar Professional</x:v>
      </x:c>
      <x:c r="O67" s="74" t="str">
        <x:v>Conclua Lost no Veteran; depois conclua no Professional, preferencialmente com parceiro humano e rota de chaves/armadilhas conhecida.</x:v>
      </x:c>
      <x:c r="P67" s="74" t="str">
        <x:v>Assumir que Professional do jogo-base libera o da DLC.</x:v>
      </x:c>
      <x:c r="Q67" s="74" t="str">
        <x:v>Registrar primeiro uma conclusão Veteran dentro de Lost.</x:v>
      </x:c>
      <x:c r="R67" s="74" t="str">
        <x:v>Refazer apenas Lost Veteran/Professional.</x:v>
      </x:c>
      <x:c r="S67" s="74" t="str">
        <x:v>Nova passagem DLC</x:v>
      </x:c>
      <x:c r="T67" s="74" t="str">
        <x:v>—</x:v>
      </x:c>
      <x:c r="U67" s="74" t="str">
        <x:v>Lost Veteran</x:v>
      </x:c>
      <x:c r="V67" s="74" t="str">
        <x:v>S05; S08</x:v>
      </x:c>
      <x:c r="W67" s="74" t="str">
        <x:v>Alta</x:v>
      </x:c>
      <x:c r="X67" s="74" t="str">
        <x:v>Confirmado</x:v>
      </x:c>
    </x:row>
    <x:row r="68">
      <x:c r="A68" s="78" t="str">
        <x:v>065</x:v>
      </x:c>
      <x:c r="B68" s="78" t="str">
        <x:v>Kung Fu Fighting</x:v>
      </x:c>
      <x:c r="C68" s="78" t="str">
        <x:v>Bronze</x:v>
      </x:c>
      <x:c r="D68" s="78" t="str">
        <x:v>Lost in Nightmares</x:v>
      </x:c>
      <x:c r="E68" s="78" t="str">
        <x:v>Inflict a set amount of damage to Wesker in "Lost in Nightmares."</x:v>
      </x:c>
      <x:c r="F68" s="78" t="str">
        <x:v>DLC; chefe; melee</x:v>
      </x:c>
      <x:c r="G68" s="78" t="str">
        <x:v>Não</x:v>
      </x:c>
      <x:c r="H68" s="78" t="str">
        <x:v>Não</x:v>
      </x:c>
      <x:c r="I68" s="78" t="str">
        <x:v>Opcional</x:v>
      </x:c>
      <x:c r="J68" s="78" t="str">
        <x:v>Não</x:v>
      </x:c>
      <x:c r="K68" s="78" t="str">
        <x:v>Lost — Passagem 1 (Amateur)</x:v>
      </x:c>
      <x:c r="L68" s="78" t="str">
        <x:v>Etapa 6 — Lost in Nightmares: objetivos</x:v>
      </x:c>
      <x:c r="M68" s="78" t="str">
        <x:v>Confronto final com Wesker</x:v>
      </x:c>
      <x:c r="N68" s="78" t="str">
        <x:v>Bait de dash e QTE de esquiva</x:v>
      </x:c>
      <x:c r="O68" s="78" t="str">
        <x:v>Provoque o dash de Wesker, acerte o QTE de esquiva e complete os contra-ataques/melees sempre que surgirem; repita sequências até o troféu antes de encerrar a luta.</x:v>
      </x:c>
      <x:c r="P68" s="78" t="str">
        <x:v>Finalizar o encontro sem dano melee suficiente.</x:v>
      </x:c>
      <x:c r="Q68" s="78" t="str">
        <x:v>Faça em Amateur, prolongue a luta e priorize toda abertura de contra-ataque.</x:v>
      </x:c>
      <x:c r="R68" s="78" t="str">
        <x:v>Repetir Lost; checkpoint final pode ajudar se ainda disponível.</x:v>
      </x:c>
      <x:c r="S68" s="78" t="str">
        <x:v>Nova passagem/checkpoint</x:v>
      </x:c>
      <x:c r="T68" s="78" t="str">
        <x:v>—</x:v>
      </x:c>
      <x:c r="U68" s="78" t="str">
        <x:v>Wesker</x:v>
      </x:c>
      <x:c r="V68" s="78" t="str">
        <x:v>S05; S08</x:v>
      </x:c>
      <x:c r="W68" s="78" t="str">
        <x:v>Média-alta</x:v>
      </x:c>
      <x:c r="X68" s="78" t="str">
        <x:v>Confirmado</x:v>
      </x:c>
    </x:row>
    <x:row r="69">
      <x:c r="A69" s="74" t="str">
        <x:v>066</x:v>
      </x:c>
      <x:c r="B69" s="74" t="str">
        <x:v>Wish Upon a Star</x:v>
      </x:c>
      <x:c r="C69" s="74" t="str">
        <x:v>Bronze</x:v>
      </x:c>
      <x:c r="D69" s="74" t="str">
        <x:v>Lost in Nightmares</x:v>
      </x:c>
      <x:c r="E69" s="74" t="str">
        <x:v>Destroy all 18 of the Score stars found throughout "Lost in Nightmares."</x:v>
      </x:c>
      <x:c r="F69" s="74" t="str">
        <x:v>DLC; coletável; mesma passagem</x:v>
      </x:c>
      <x:c r="G69" s="74" t="str">
        <x:v>Condicional — passagem</x:v>
      </x:c>
      <x:c r="H69" s="74" t="str">
        <x:v>Não</x:v>
      </x:c>
      <x:c r="I69" s="74" t="str">
        <x:v>Opcional</x:v>
      </x:c>
      <x:c r="J69" s="74" t="str">
        <x:v>Somente mesma passagem</x:v>
      </x:c>
      <x:c r="K69" s="74" t="str">
        <x:v>Lost — Passagem 1 (Amateur)</x:v>
      </x:c>
      <x:c r="L69" s="74" t="str">
        <x:v>Etapa 6 — Lost in Nightmares: objetivos</x:v>
      </x:c>
      <x:c r="M69" s="74" t="str">
        <x:v>18 pontos do episódio</x:v>
      </x:c>
      <x:c r="N69" s="74" t="str">
        <x:v>18 Score Stars</x:v>
      </x:c>
      <x:c r="O69" s="74" t="str">
        <x:v>Destrua as 18 estrelas na mesma passagem. Após morrer/recarregar checkpoint, destrua novamente qualquer estrela coletada depois daquele checkpoint.</x:v>
      </x:c>
      <x:c r="P69" s="74" t="str">
        <x:v>Assumir progresso cumulativo entre passagens ou perder estrela após retry.</x:v>
      </x:c>
      <x:c r="Q69" s="74" t="str">
        <x:v>Use checklist 1–18 e confirme cada estrela depois do último checkpoint válido.</x:v>
      </x:c>
      <x:c r="R69" s="74" t="str">
        <x:v>Se o episódio terminar em 17/18, nova passagem completa é necessária.</x:v>
      </x:c>
      <x:c r="S69" s="74" t="str">
        <x:v>Mesma passagem</x:v>
      </x:c>
      <x:c r="T69" s="74" t="str">
        <x:v>—</x:v>
      </x:c>
      <x:c r="U69" s="74" t="str">
        <x:v>Rank S</x:v>
      </x:c>
      <x:c r="V69" s="74" t="str">
        <x:v>S05; S08</x:v>
      </x:c>
      <x:c r="W69" s="74" t="str">
        <x:v>Alta</x:v>
      </x:c>
      <x:c r="X69" s="74" t="str">
        <x:v>Confirmado</x:v>
      </x:c>
    </x:row>
    <x:row r="70">
      <x:c r="A70" s="78" t="str">
        <x:v>067</x:v>
      </x:c>
      <x:c r="B70" s="78" t="str">
        <x:v>Getaway</x:v>
      </x:c>
      <x:c r="C70" s="78" t="str">
        <x:v>Bronze</x:v>
      </x:c>
      <x:c r="D70" s="78" t="str">
        <x:v>Desperate Escape</x:v>
      </x:c>
      <x:c r="E70" s="78" t="str">
        <x:v>Complete "Desperate Escape" on any difficulty setting.</x:v>
      </x:c>
      <x:c r="F70" s="78" t="str">
        <x:v>DLC; campanha; automático</x:v>
      </x:c>
      <x:c r="G70" s="78" t="str">
        <x:v>Não</x:v>
      </x:c>
      <x:c r="H70" s="78" t="str">
        <x:v>Não</x:v>
      </x:c>
      <x:c r="I70" s="78" t="str">
        <x:v>Opcional</x:v>
      </x:c>
      <x:c r="J70" s="78" t="str">
        <x:v>Não</x:v>
      </x:c>
      <x:c r="K70" s="78" t="str">
        <x:v>DE — Passagem 1 (Amateur)</x:v>
      </x:c>
      <x:c r="L70" s="78" t="str">
        <x:v>Etapa 8 — Desperate Escape: S e 150 eliminações</x:v>
      </x:c>
      <x:c r="M70" s="78" t="str">
        <x:v>Fim do episódio</x:v>
      </x:c>
      <x:c r="N70" s="78" t="str">
        <x:v>Desperate Escape desbloqueado após avançar/concluir campanha principal</x:v>
      </x:c>
      <x:c r="O70" s="78" t="str">
        <x:v>Conclua Desperate Escape em qualquer dificuldade.</x:v>
      </x:c>
      <x:c r="P70" s="78" t="str">
        <x:v>Nenhum risco permanente.</x:v>
      </x:c>
      <x:c r="Q70" s="78" t="str">
        <x:v>—</x:v>
      </x:c>
      <x:c r="R70" s="78" t="str">
        <x:v>Repetir episódio.</x:v>
      </x:c>
      <x:c r="S70" s="78" t="str">
        <x:v>Nova passagem DLC</x:v>
      </x:c>
      <x:c r="T70" s="78" t="str">
        <x:v>—</x:v>
      </x:c>
      <x:c r="U70" s="78" t="str">
        <x:v>Campanha principal</x:v>
      </x:c>
      <x:c r="V70" s="78" t="str">
        <x:v>S05; S06</x:v>
      </x:c>
      <x:c r="W70" s="78" t="str">
        <x:v>Alta</x:v>
      </x:c>
      <x:c r="X70" s="78" t="str">
        <x:v>Confirmado</x:v>
      </x:c>
    </x:row>
    <x:row r="71">
      <x:c r="A71" s="74" t="str">
        <x:v>068</x:v>
      </x:c>
      <x:c r="B71" s="74" t="str">
        <x:v>The Great Escape</x:v>
      </x:c>
      <x:c r="C71" s="74" t="str">
        <x:v>Bronze</x:v>
      </x:c>
      <x:c r="D71" s="74" t="str">
        <x:v>Desperate Escape</x:v>
      </x:c>
      <x:c r="E71" s="74" t="str">
        <x:v>Complete "Desperate Escape" with an S rank.</x:v>
      </x:c>
      <x:c r="F71" s="74" t="str">
        <x:v>DLC; rank S</x:v>
      </x:c>
      <x:c r="G71" s="74" t="str">
        <x:v>Não</x:v>
      </x:c>
      <x:c r="H71" s="74" t="str">
        <x:v>Não</x:v>
      </x:c>
      <x:c r="I71" s="74" t="str">
        <x:v>Opcional</x:v>
      </x:c>
      <x:c r="J71" s="74" t="str">
        <x:v>Não</x:v>
      </x:c>
      <x:c r="K71" s="74" t="str">
        <x:v>DE — Passagem 1 (Amateur)</x:v>
      </x:c>
      <x:c r="L71" s="74" t="str">
        <x:v>Etapa 8 — Desperate Escape: S e 150 eliminações</x:v>
      </x:c>
      <x:c r="M71" s="74" t="str">
        <x:v>Tela de resultados</x:v>
      </x:c>
      <x:c r="N71" s="74" t="str">
        <x:v>Bom tempo, precisão, mortes e poucas quedas</x:v>
      </x:c>
      <x:c r="O71" s="74" t="str">
        <x:v>Na passagem Amateur de objetivos, mate ondas suficientes, preserve precisão e evite mortes para obter S; os 150 abates ajudam o score.</x:v>
      </x:c>
      <x:c r="P71" s="74" t="str">
        <x:v>Atrasar demais aguardando spawns e perder score de tempo.</x:v>
      </x:c>
      <x:c r="Q71" s="74" t="str">
        <x:v>Conheça os gatilhos e use armas fortes; se não sair S, faça tentativa dedicada.</x:v>
      </x:c>
      <x:c r="R71" s="74" t="str">
        <x:v>Repita DE em Amateur.</x:v>
      </x:c>
      <x:c r="S71" s="74" t="str">
        <x:v>Nova passagem DLC</x:v>
      </x:c>
      <x:c r="T71" s="74" t="str">
        <x:v>—</x:v>
      </x:c>
      <x:c r="U71" s="74" t="str">
        <x:v>Way of the Warrior</x:v>
      </x:c>
      <x:c r="V71" s="74" t="str">
        <x:v>S05; S06</x:v>
      </x:c>
      <x:c r="W71" s="74" t="str">
        <x:v>Alta</x:v>
      </x:c>
      <x:c r="X71" s="74" t="str">
        <x:v>Confirmado</x:v>
      </x:c>
    </x:row>
    <x:row r="72">
      <x:c r="A72" s="78" t="str">
        <x:v>069</x:v>
      </x:c>
      <x:c r="B72" s="78" t="str">
        <x:v>Run the Gauntlet</x:v>
      </x:c>
      <x:c r="C72" s="78" t="str">
        <x:v>Prata</x:v>
      </x:c>
      <x:c r="D72" s="78" t="str">
        <x:v>Desperate Escape</x:v>
      </x:c>
      <x:c r="E72" s="78" t="str">
        <x:v>Complete "Desperate Escape" on Professional.</x:v>
      </x:c>
      <x:c r="F72" s="78" t="str">
        <x:v>DLC; dificuldade; coop recomendado</x:v>
      </x:c>
      <x:c r="G72" s="78" t="str">
        <x:v>Não</x:v>
      </x:c>
      <x:c r="H72" s="78" t="str">
        <x:v>Não</x:v>
      </x:c>
      <x:c r="I72" s="78" t="str">
        <x:v>Opcional</x:v>
      </x:c>
      <x:c r="J72" s="78" t="str">
        <x:v>Não</x:v>
      </x:c>
      <x:c r="K72" s="78" t="str">
        <x:v>DE — Passagens 2 e 3</x:v>
      </x:c>
      <x:c r="L72" s="78" t="str">
        <x:v>Etapa 9 — Desperate Escape: Agitators, Veteran e Professional</x:v>
      </x:c>
      <x:c r="M72" s="78" t="str">
        <x:v>Fim do episódio</x:v>
      </x:c>
      <x:c r="N72" s="78" t="str">
        <x:v>Concluir DE no Veteran para liberar Professional</x:v>
      </x:c>
      <x:c r="O72" s="78" t="str">
        <x:v>Conclua DE no Veteran e depois no Professional. Use parceiro humano, avance por objetivos sem prolongar ondas e preserve granadas/lançadores para o final.</x:v>
      </x:c>
      <x:c r="P72" s="78" t="str">
        <x:v>Professional separado do jogo-base; IA e dano extremo tornam a rota instável.</x:v>
      </x:c>
      <x:c r="Q72" s="78" t="str">
        <x:v>Treine no Veteran, combine funções e reinicie checkpoint cedo após erro grave.</x:v>
      </x:c>
      <x:c r="R72" s="78" t="str">
        <x:v>Refazer apenas DE Professional.</x:v>
      </x:c>
      <x:c r="S72" s="78" t="str">
        <x:v>Nova passagem DLC</x:v>
      </x:c>
      <x:c r="T72" s="78" t="str">
        <x:v>—</x:v>
      </x:c>
      <x:c r="U72" s="78" t="str">
        <x:v>DE Veteran</x:v>
      </x:c>
      <x:c r="V72" s="78" t="str">
        <x:v>S05; S06</x:v>
      </x:c>
      <x:c r="W72" s="78" t="str">
        <x:v>Alta</x:v>
      </x:c>
      <x:c r="X72" s="78" t="str">
        <x:v>Confirmado</x:v>
      </x:c>
    </x:row>
    <x:row r="73">
      <x:c r="A73" s="74" t="str">
        <x:v>070</x:v>
      </x:c>
      <x:c r="B73" s="74" t="str">
        <x:v>Way of the Warrior</x:v>
      </x:c>
      <x:c r="C73" s="74" t="str">
        <x:v>Bronze</x:v>
      </x:c>
      <x:c r="D73" s="74" t="str">
        <x:v>Desperate Escape</x:v>
      </x:c>
      <x:c r="E73" s="74" t="str">
        <x:v>Defeat 150 enemies singlehandedly in one playthrough of "Desperate Escape."</x:v>
      </x:c>
      <x:c r="F73" s="74" t="str">
        <x:v>DLC; combate; mesma passagem; pessoal</x:v>
      </x:c>
      <x:c r="G73" s="74" t="str">
        <x:v>Condicional — passagem</x:v>
      </x:c>
      <x:c r="H73" s="74" t="str">
        <x:v>Não</x:v>
      </x:c>
      <x:c r="I73" s="74" t="str">
        <x:v>Opcional</x:v>
      </x:c>
      <x:c r="J73" s="74" t="str">
        <x:v>Somente mesma passagem</x:v>
      </x:c>
      <x:c r="K73" s="74" t="str">
        <x:v>DE — Passagem 1 (Amateur)</x:v>
      </x:c>
      <x:c r="L73" s="74" t="str">
        <x:v>Etapa 8 — Desperate Escape: S e 150 eliminações</x:v>
      </x:c>
      <x:c r="M73" s="74" t="str">
        <x:v>Episódio inteiro em Amateur</x:v>
      </x:c>
      <x:c r="N73" s="74" t="str">
        <x:v>150 mortes atribuídas ao jogador na mesma passagem</x:v>
      </x:c>
      <x:c r="O73" s="74" t="str">
        <x:v>Jogue solo em Amateur, retire as armas do parceiro quando possível e dê pessoalmente o golpe final em pelo menos 150 inimigos; esgote as ondas antes de avançar.</x:v>
      </x:c>
      <x:c r="P73" s="74" t="str">
        <x:v>Mortes do parceiro não contam; atribuição após dano do parceiro é discutida.</x:v>
      </x:c>
      <x:c r="Q73" s="74" t="str">
        <x:v>Neutralize a IA e finalize todos os alvos você mesmo; não combine com speedrun.</x:v>
      </x:c>
      <x:c r="R73" s="74" t="str">
        <x:v>Se não desbloquear antes do fim, nova passagem é necessária.</x:v>
      </x:c>
      <x:c r="S73" s="74" t="str">
        <x:v>Mesma passagem</x:v>
      </x:c>
      <x:c r="T73" s="74" t="str">
        <x:v>—</x:v>
      </x:c>
      <x:c r="U73" s="74" t="str">
        <x:v>Contador pessoal oculto</x:v>
      </x:c>
      <x:c r="V73" s="74" t="str">
        <x:v>S05; S06</x:v>
      </x:c>
      <x:c r="W73" s="74" t="str">
        <x:v>Média-alta</x:v>
      </x:c>
      <x:c r="X73" s="74" t="str">
        <x:v>Confirmado</x:v>
      </x:c>
    </x:row>
    <x:row r="74">
      <x:c r="A74" s="78" t="str">
        <x:v>071</x:v>
      </x:c>
      <x:c r="B74" s="78" t="str">
        <x:v>Shoot the Messenger</x:v>
      </x:c>
      <x:c r="C74" s="78" t="str">
        <x:v>Bronze</x:v>
      </x:c>
      <x:c r="D74" s="78" t="str">
        <x:v>Desperate Escape</x:v>
      </x:c>
      <x:c r="E74" s="78" t="str">
        <x:v>Defeat 3 Agitator Majini in one playthrough of "Desperate Escape."</x:v>
      </x:c>
      <x:c r="F74" s="78" t="str">
        <x:v>DLC; inimigo específico; mesma passagem; spawn</x:v>
      </x:c>
      <x:c r="G74" s="78" t="str">
        <x:v>Condicional — passagem</x:v>
      </x:c>
      <x:c r="H74" s="78" t="str">
        <x:v>Não</x:v>
      </x:c>
      <x:c r="I74" s="78" t="str">
        <x:v>Opcional</x:v>
      </x:c>
      <x:c r="J74" s="78" t="str">
        <x:v>Somente mesma passagem</x:v>
      </x:c>
      <x:c r="K74" s="78" t="str">
        <x:v>DE — Passagens 2 e 3</x:v>
      </x:c>
      <x:c r="L74" s="78" t="str">
        <x:v>Etapa 9 — Desperate Escape: Agitators, Veteran e Professional</x:v>
      </x:c>
      <x:c r="M74" s="78" t="str">
        <x:v>Três áreas do episódio</x:v>
      </x:c>
      <x:c r="N74" s="78" t="str">
        <x:v>Acionar e matar 3 Agitator Majini na mesma passagem</x:v>
      </x:c>
      <x:c r="O74" s="78" t="str">
        <x:v>1) Primeira área: esgote ondas, pegue a chave, abra o portão e faça o assist jump para disparar o spawn; volte e mate. 2) Área das torres: permaneça nas duas torres adjacentes e mate inimigos do outro lado até o Agitator surgir. 3) Área final: mate rapidamente o Majini vermelho/chefe e aguarde o Agitator perto dos segundos finais; elimine-o.</x:v>
      </x:c>
      <x:c r="P74" s="78" t="str">
        <x:v>Avançar antes do gatilho, não matar um deles ou reiniciar o episódio.</x:v>
      </x:c>
      <x:c r="Q74" s="78" t="str">
        <x:v>Faça em Amateur, checklist 1/3–3/3, não atravesse o próximo gatilho antes do spawn.</x:v>
      </x:c>
      <x:c r="R74" s="78" t="str">
        <x:v>Checkpoint só ajuda se anterior ao Agitator perdido; após terminar, nova passagem.</x:v>
      </x:c>
      <x:c r="S74" s="78" t="str">
        <x:v>Mesma passagem</x:v>
      </x:c>
      <x:c r="T74" s="78" t="str">
        <x:v>—</x:v>
      </x:c>
      <x:c r="U74" s="78" t="str">
        <x:v>Spawns condicionais</x:v>
      </x:c>
      <x:c r="V74" s="78" t="str">
        <x:v>S05; S06</x:v>
      </x:c>
      <x:c r="W74" s="78" t="str">
        <x:v>Média-alta</x:v>
      </x:c>
      <x:c r="X74" s="78" t="str">
        <x:v>Confirmado</x:v>
      </x:c>
    </x:row>
  </x:sheetData>
  <x:mergeCells>
    <x:mergeCell ref="A1:X1"/>
    <x:mergeCell ref="A2:X2"/>
  </x:mergeCells>
  <x:conditionalFormatting sqref="W4:W74">
    <x:cfRule type="expression" dxfId="0" priority="1">
      <x:formula>W4="Alta"</x:formula>
    </x:cfRule>
    <x:cfRule type="expression" dxfId="1" priority="2">
      <x:formula>W4="Média-alta"</x:formula>
    </x:cfRule>
  </x:conditionalFormatting>
  <x:conditionalFormatting sqref="X4:X74">
    <x:cfRule type="expression" dxfId="2" priority="3">
      <x:formula>X4="Confirmado"</x:formula>
    </x:cfRule>
  </x:conditionalFormatting>
  <x:conditionalFormatting sqref="G4:G74">
    <x:cfRule type="expression" dxfId="3" priority="4">
      <x:formula>LEFT(G4,11)="Condicional"</x:formula>
    </x:cfRule>
  </x:conditionalFormatting>
  <x:conditionalFormatting sqref="H4:H74">
    <x:cfRule type="expression" dxfId="4" priority="5">
      <x:formula>H4="Sim"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ec9eab18e2411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70" hidden="0" customWidth="1"/>
    <x:col min="4" max="4" width="18" hidden="0" customWidth="1"/>
  </x:cols>
  <x:sheetData>
    <x:row r="1" ht="30" customHeight="1">
      <x:c r="A1" s="5" t="str">
        <x:v>4 — Mapa de dependências</x:v>
      </x:c>
    </x:row>
    <x:row r="2" ht="20" customHeight="1">
      <x:c r="A2" s="11" t="str">
        <x:v>AtlasAchievement • Portão A • verificação: 26/07/2026</x:v>
      </x:c>
      <x:c r="B2" t="str"/>
      <x:c r="C2" t="str"/>
      <x:c r="D2" t="str"/>
    </x:row>
    <x:row r="3" ht="30" customHeight="1">
      <x:c r="A3" s="66" t="str">
        <x:v>Sistema/origem</x:v>
      </x:c>
      <x:c r="B3" s="66" t="str">
        <x:v>Dependência</x:v>
      </x:c>
      <x:c r="C3" s="66" t="str">
        <x:v>Impacto operacional</x:v>
      </x:c>
      <x:c r="D3" s="66" t="str">
        <x:v>Fonte</x:v>
      </x:c>
    </x:row>
    <x:row r="4">
      <x:c r="A4" s="78" t="str">
        <x:v>Plataforma/lista</x:v>
      </x:c>
      <x:c r="B4" s="78" t="str">
        <x:v>PS4 nativo → PS5 retrocompatível</x:v>
      </x:c>
      <x:c r="C4" s="78" t="str">
        <x:v>Mesma aplicação, mesmo save PS4 e mesma lista; não há autopop para outra stack.</x:v>
      </x:c>
      <x:c r="D4" s="78" t="str">
        <x:v>S01; S02; S03</x:v>
      </x:c>
    </x:row>
    <x:row r="5">
      <x:c r="A5" s="74" t="str">
        <x:v>PS3→PS4</x:v>
      </x:c>
      <x:c r="B5" s="74" t="str">
        <x:v>Sem transferência</x:v>
      </x:c>
      <x:c r="C5" s="74" t="str">
        <x:v>Save e troféus PS3 não migram; progresso deve ser refeito na lista PS4.</x:v>
      </x:c>
      <x:c r="D5" s="74" t="str">
        <x:v>S04</x:v>
      </x:c>
    </x:row>
    <x:row r="6">
      <x:c r="A6" s="78" t="str">
        <x:v>Normal→Veteran→Professional</x:v>
      </x:c>
      <x:c r="B6" s="78" t="str">
        <x:v>Professional depende de Veteran</x:v>
      </x:c>
      <x:c r="C6" s="78" t="str">
        <x:v>Professional do jogo-base é liberado após registrar os 16 capítulos no Veteran.</x:v>
      </x:c>
      <x:c r="D6" s="78" t="str">
        <x:v>S06</x:v>
      </x:c>
    </x:row>
    <x:row r="7">
      <x:c r="A7" s="74" t="str">
        <x:v>Dificuldades</x:v>
      </x:c>
      <x:c r="B7" s="74" t="str">
        <x:v>Troféus acumulam para baixo</x:v>
      </x:c>
      <x:c r="C7" s="74" t="str">
        <x:v>Veteran satisfaz Recruit/Soldier; Professional satisfaz os inferiores se todos os capítulos estiverem registrados.</x:v>
      </x:c>
      <x:c r="D7" s="74" t="str">
        <x:v>S06</x:v>
      </x:c>
    </x:row>
    <x:row r="8">
      <x:c r="A8" s="78" t="str">
        <x:v>Chapter Select</x:v>
      </x:c>
      <x:c r="B8" s="78" t="str">
        <x:v>Registro por capítulo</x:v>
      </x:c>
      <x:c r="C8" s="78" t="str">
        <x:v>Conclusões, ranks e melhores tempos são armazenados por capítulo; capítulos faltantes podem ser refeitos.</x:v>
      </x:c>
      <x:c r="D8" s="78" t="str">
        <x:v>S06</x:v>
      </x:c>
    </x:row>
    <x:row r="9">
      <x:c r="A9" s="74" t="str">
        <x:v>Infinite Rocket Launcher</x:v>
      </x:c>
      <x:c r="B9" s="74" t="str">
        <x:v>Tempo total &lt;5h em uma dificuldade</x:v>
      </x:c>
      <x:c r="C9" s="74" t="str">
        <x:v>Somam-se os melhores tempos dos 16 capítulos na mesma dificuldade; Chapter Select substitui tempos individuais.</x:v>
      </x:c>
      <x:c r="D9" s="74" t="str">
        <x:v>S06</x:v>
      </x:c>
    </x:row>
    <x:row r="10">
      <x:c r="A10" s="78" t="str">
        <x:v>Munição infinita</x:v>
      </x:c>
      <x:c r="B10" s="78" t="str">
        <x:v>Campanha concluída + arma maximizada + EP</x:v>
      </x:c>
      <x:c r="C10" s="78" t="str">
        <x:v>É diferente da Infinite Rocket. Deve ser ativada nas opções e comprada em Bonus Features.</x:v>
      </x:c>
      <x:c r="D10" s="78" t="str">
        <x:v>S06</x:v>
      </x:c>
    </x:row>
    <x:row r="11">
      <x:c r="A11" s="74" t="str">
        <x:v>Chris/Sheva</x:v>
      </x:c>
      <x:c r="B11" s="74" t="str">
        <x:v>Personagem principal e armas exclusivas</x:v>
      </x:c>
      <x:c r="C11" s="74" t="str">
        <x:v>Gatling Gun é de Chris; Longbow é de Sheva. Sheva torna-se selecionável como líder após concluir a campanha.</x:v>
      </x:c>
      <x:c r="D11" s="74" t="str">
        <x:v>S06</x:v>
      </x:c>
    </x:row>
    <x:row r="12">
      <x:c r="A12" s="78" t="str">
        <x:v>Inventário principal</x:v>
      </x:c>
      <x:c r="B12" s="78" t="str">
        <x:v>Compartilhado no mesmo save</x:v>
      </x:c>
      <x:c r="C12" s="78" t="str">
        <x:v>Armas, dinheiro, upgrades, tesouros e ovos persistem entre capítulos, dificuldades, personagens e Chapter Select.</x:v>
      </x:c>
      <x:c r="D12" s="78" t="str">
        <x:v>S06</x:v>
      </x:c>
    </x:row>
    <x:row r="13">
      <x:c r="A13" s="74" t="str">
        <x:v>DLCs de história</x:v>
      </x:c>
      <x:c r="B13" s="74" t="str">
        <x:v>Inventários separados</x:v>
      </x:c>
      <x:c r="C13" s="74" t="str">
        <x:v>Lost/DE usam loadouts próprios; arsenal e infinitos da campanha principal não migram.</x:v>
      </x:c>
      <x:c r="D13" s="74" t="str">
        <x:v>S06; S08</x:v>
      </x:c>
    </x:row>
    <x:row r="14">
      <x:c r="A14" s="78" t="str">
        <x:v>BSAA Emblems</x:v>
      </x:c>
      <x:c r="B14" s="78" t="str">
        <x:v>30 → trajes/figuras</x:v>
      </x:c>
      <x:c r="C14" s="78" t="str">
        <x:v>25/30 e 30/30 liberam trajes; todos contribuem para figuras.</x:v>
      </x:c>
      <x:c r="D14" s="78" t="str">
        <x:v>S10; S11</x:v>
      </x:c>
    </x:row>
    <x:row r="15">
      <x:c r="A15" s="74" t="str">
        <x:v>Ranks S</x:v>
      </x:c>
      <x:c r="B15" s="74" t="str">
        <x:v>16 capítulos → figura final</x:v>
      </x:c>
      <x:c r="C15" s="74" t="str">
        <x:v>Recomendação segura: obter S em todos no Amateur; registros são por capítulo.</x:v>
      </x:c>
      <x:c r="D15" s="74" t="str">
        <x:v>S06</x:v>
      </x:c>
    </x:row>
    <x:row r="16">
      <x:c r="A16" s="78" t="str">
        <x:v>Tesouros</x:v>
      </x:c>
      <x:c r="B16" s="78" t="str">
        <x:v>50 tipos → Museum</x:v>
      </x:c>
      <x:c r="C16" s="78" t="str">
        <x:v>Registro é cumulativo; Heart of Africa depende de Bad Blood e coleta posterior em 5-3.</x:v>
      </x:c>
      <x:c r="D16" s="78" t="str">
        <x:v>S06</x:v>
      </x:c>
    </x:row>
    <x:row r="17">
      <x:c r="A17" s="74" t="str">
        <x:v>Armas especiais</x:v>
      </x:c>
      <x:c r="B17" s="74" t="str">
        <x:v>Upgrades em cadeia</x:v>
      </x:c>
      <x:c r="C17" s="74" t="str">
        <x:v>M92F→M93R; Ithaca→Hydra; S&amp;W M29→M500; VZ61→Gatling; S75→Longbow.</x:v>
      </x:c>
      <x:c r="D17" s="74" t="str">
        <x:v>S06</x:v>
      </x:c>
    </x:row>
    <x:row r="18">
      <x:c r="A18" s="78" t="str">
        <x:v>Stockpile</x:v>
      </x:c>
      <x:c r="B18" s="78" t="str">
        <x:v>27 simultâneos</x:v>
      </x:c>
      <x:c r="C18" s="78" t="str">
        <x:v>Ao contrário dos tesouros, todos os itens da checklist devem estar possuídos no momento do gatilho.</x:v>
      </x:c>
      <x:c r="D18" s="78" t="str">
        <x:v>S06</x:v>
      </x:c>
    </x:row>
    <x:row r="19">
      <x:c r="A19" s="74" t="str">
        <x:v>Eggs</x:v>
      </x:c>
      <x:c r="B19" s="74" t="str">
        <x:v>4 simultâneos</x:v>
      </x:c>
      <x:c r="C19" s="74" t="str">
        <x:v>White/Brown/Gold/Rotten; reservar Rotten extra para o troféu de arremesso.</x:v>
      </x:c>
      <x:c r="D19" s="74" t="str">
        <x:v>S06</x:v>
      </x:c>
    </x:row>
    <x:row r="20">
      <x:c r="A20" s="78" t="str">
        <x:v>Exchange Points</x:v>
      </x:c>
      <x:c r="B20" s="78" t="str">
        <x:v>Figuras + Versus + infinitos</x:v>
      </x:c>
      <x:c r="C20" s="78" t="str">
        <x:v>22.000 EP para 44 figuras pagas; 134.000 EP para oito personagens Versus; infinitos são custo adicional.</x:v>
      </x:c>
      <x:c r="D20" s="78" t="str">
        <x:v>S06</x:v>
      </x:c>
    </x:row>
    <x:row r="21">
      <x:c r="A21" s="74" t="str">
        <x:v>Lost Professional</x:v>
      </x:c>
      <x:c r="B21" s="74" t="str">
        <x:v>Lost Veteran</x:v>
      </x:c>
      <x:c r="C21" s="74" t="str">
        <x:v>O Professional da DLC é liberado separadamente após conclusão em Veteran.</x:v>
      </x:c>
      <x:c r="D21" s="74" t="str">
        <x:v>S08</x:v>
      </x:c>
    </x:row>
    <x:row r="22">
      <x:c r="A22" s="78" t="str">
        <x:v>Lost stars</x:v>
      </x:c>
      <x:c r="B22" s="78" t="str">
        <x:v>18/18 mesma passagem</x:v>
      </x:c>
      <x:c r="C22" s="78" t="str">
        <x:v>Não acumulam entre passagens; retry pode apagar estrelas posteriores ao checkpoint.</x:v>
      </x:c>
      <x:c r="D22" s="78" t="str">
        <x:v>S08</x:v>
      </x:c>
    </x:row>
    <x:row r="23">
      <x:c r="A23" s="74" t="str">
        <x:v>DE Professional</x:v>
      </x:c>
      <x:c r="B23" s="74" t="str">
        <x:v>DE Veteran</x:v>
      </x:c>
      <x:c r="C23" s="74" t="str">
        <x:v>O Professional da DLC é liberado separadamente após conclusão em Veteran.</x:v>
      </x:c>
      <x:c r="D23" s="74" t="str">
        <x:v>S06</x:v>
      </x:c>
    </x:row>
    <x:row r="24">
      <x:c r="A24" s="78" t="str">
        <x:v>DE 150 kills</x:v>
      </x:c>
      <x:c r="B24" s="78" t="str">
        <x:v>Pessoais e mesma passagem</x:v>
      </x:c>
      <x:c r="C24" s="78" t="str">
        <x:v>Evitar mortes da IA; fazer em solo Amateur e finalizar todos os inimigos.</x:v>
      </x:c>
      <x:c r="D24" s="78" t="str">
        <x:v>S06</x:v>
      </x:c>
    </x:row>
    <x:row r="25">
      <x:c r="A25" s="74" t="str">
        <x:v>DE Agitators</x:v>
      </x:c>
      <x:c r="B25" s="74" t="str">
        <x:v>3/3 mesma passagem</x:v>
      </x:c>
      <x:c r="C25" s="74" t="str">
        <x:v>Cada um depende de gatilho de spawn; avançar cedo pode impedir a aparição.</x:v>
      </x:c>
      <x:c r="D25" s="74" t="str">
        <x:v>S06</x:v>
      </x:c>
    </x:row>
    <x:row r="26">
      <x:c r="A26" s="78" t="str">
        <x:v>Versus modos individuais</x:v>
      </x:c>
      <x:c r="B26" s="78" t="str">
        <x:v>2 jogadores</x:v>
      </x:c>
      <x:c r="C26" s="78" t="str">
        <x:v>Slayers e Survivors podem ser boostados em lobby de duas contas.</x:v>
      </x:c>
      <x:c r="D26" s="78" t="str">
        <x:v>S05; S07</x:v>
      </x:c>
    </x:row>
    <x:row r="27">
      <x:c r="A27" s="74" t="str">
        <x:v>Versus equipes</x:v>
      </x:c>
      <x:c r="B27" s="74" t="str">
        <x:v>4 jogadores</x:v>
      </x:c>
      <x:c r="C27" s="74" t="str">
        <x:v>Team Slayers e Team Survivors exigem 2v2; melhor configuração global é quatro contas.</x:v>
      </x:c>
      <x:c r="D27" s="74" t="str">
        <x:v>S05; S07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9ffef8508ba4f8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22" hidden="0" customWidth="1"/>
    <x:col min="4" max="4" width="62" hidden="0" customWidth="1"/>
    <x:col min="5" max="5" width="48" hidden="0" customWidth="1"/>
    <x:col min="6" max="6" width="30" hidden="0" customWidth="1"/>
  </x:cols>
  <x:sheetData>
    <x:row r="1" ht="30" customHeight="1">
      <x:c r="A1" s="5" t="str">
        <x:v>5 — Análise preliminar de campanhas e modos</x:v>
      </x:c>
    </x:row>
    <x:row r="2" ht="20" customHeight="1">
      <x:c r="A2" s="11" t="str">
        <x:v>AtlasAchievement • Portão A • verificação: 26/07/2026</x:v>
      </x:c>
      <x:c r="B2" t="str"/>
      <x:c r="C2" t="str"/>
      <x:c r="D2" t="str"/>
      <x:c r="E2" t="str"/>
      <x:c r="F2" t="str"/>
    </x:row>
    <x:row r="3" ht="30" customHeight="1">
      <x:c r="A3" s="66" t="str">
        <x:v>Escopo</x:v>
      </x:c>
      <x:c r="B3" s="66" t="str">
        <x:v>Sequência</x:v>
      </x:c>
      <x:c r="C3" s="66" t="str">
        <x:v>Quantidade</x:v>
      </x:c>
      <x:c r="D3" s="66" t="str">
        <x:v>Lógica</x:v>
      </x:c>
      <x:c r="E3" s="66" t="str">
        <x:v>Risco</x:v>
      </x:c>
      <x:c r="F3" s="66" t="str">
        <x:v>Perfil</x:v>
      </x:c>
    </x:row>
    <x:row r="4">
      <x:c r="A4" s="78" t="str">
        <x:v>Jogo-base — mínimo teórico</x:v>
      </x:c>
      <x:c r="B4" s="78" t="str">
        <x:v>Veteran + Professional</x:v>
      </x:c>
      <x:c r="C4" s="78" t="str">
        <x:v>2 conclusões completas</x:v>
      </x:c>
      <x:c r="D4" s="78" t="str">
        <x:v>Veteran libera Professional; todos os demais requisitos podem ser limpos por Chapter Select.</x:v>
      </x:c>
      <x:c r="E4" s="78" t="str">
        <x:v>Rápida, porém difícil para iniciante; exige integrar coleta/economia ou limpar depois.</x:v>
      </x:c>
      <x:c r="F4" s="78" t="str">
        <x:v>Alta habilidade ou coop.</x:v>
      </x:c>
    </x:row>
    <x:row r="5">
      <x:c r="A5" s="74" t="str">
        <x:v>Jogo-base — recomendada</x:v>
      </x:c>
      <x:c r="B5" s="74" t="str">
        <x:v>Normal + sweep Amateur + Veteran + Professional</x:v>
      </x:c>
      <x:c r="C5" s="74" t="str">
        <x:v>3 conclusões de dificuldade + 1 sweep por Chapter Select</x:v>
      </x:c>
      <x:c r="D5" s="74" t="str">
        <x:v>Normal para coleta/aprendizado; Amateur para S e &lt;5h; Veteran/Professional com arsenal infinito.</x:v>
      </x:c>
      <x:c r="E5" s="74" t="str">
        <x:v>Mais segura, previsível e reduz gargalos de Professional.</x:v>
      </x:c>
      <x:c r="F5" s="74" t="str">
        <x:v>Tempo adicional moderado.</x:v>
      </x:c>
    </x:row>
    <x:row r="6">
      <x:c r="A6" s="78" t="str">
        <x:v>Jogo-base — otimizada experiente</x:v>
      </x:c>
      <x:c r="B6" s="78" t="str">
        <x:v>Veteran + sweep Amateur + Professional</x:v>
      </x:c>
      <x:c r="C6" s="78" t="str">
        <x:v>2 conclusões + 1 sweep</x:v>
      </x:c>
      <x:c r="D6" s="78" t="str">
        <x:v>Remove Normal e inicia em Veteran, mantendo S/speed separados.</x:v>
      </x:c>
      <x:c r="E6" s="78" t="str">
        <x:v>Boa eficiência com parceiro e conhecimento prévio.</x:v>
      </x:c>
      <x:c r="F6" s="78" t="str">
        <x:v>Veteran inicial mais punitivo.</x:v>
      </x:c>
    </x:row>
    <x:row r="7">
      <x:c r="A7" s="74" t="str">
        <x:v>Lost — mínimo</x:v>
      </x:c>
      <x:c r="B7" s="74" t="str">
        <x:v>Veteran + Professional</x:v>
      </x:c>
      <x:c r="C7" s="74" t="str">
        <x:v>2 passagens</x:v>
      </x:c>
      <x:c r="D7" s="74" t="str">
        <x:v>Na Veteran combinar S, 18 estrelas e Kung Fu; depois Professional.</x:v>
      </x:c>
      <x:c r="E7" s="74" t="str">
        <x:v>Alto risco de perder S/estrelas e repetir.</x:v>
      </x:c>
      <x:c r="F7" s="74" t="str">
        <x:v>Média-alta habilidade.</x:v>
      </x:c>
    </x:row>
    <x:row r="8">
      <x:c r="A8" s="78" t="str">
        <x:v>Lost — recomendada</x:v>
      </x:c>
      <x:c r="B8" s="78" t="str">
        <x:v>Amateur/Normal + Veteran + Professional</x:v>
      </x:c>
      <x:c r="C8" s="78" t="str">
        <x:v>3 passagens</x:v>
      </x:c>
      <x:c r="D8" s="78" t="str">
        <x:v>Objetivos em baixa dificuldade; Veteran só para desbloquear; Professional dedicado.</x:v>
      </x:c>
      <x:c r="E8" s="78" t="str">
        <x:v>Baixo risco e recuperação clara.</x:v>
      </x:c>
      <x:c r="F8" s="78" t="str">
        <x:v>Uma passagem extra curta.</x:v>
      </x:c>
    </x:row>
    <x:row r="9">
      <x:c r="A9" s="74" t="str">
        <x:v>Desperate Escape — mínimo</x:v>
      </x:c>
      <x:c r="B9" s="74" t="str">
        <x:v>Veteran + Professional</x:v>
      </x:c>
      <x:c r="C9" s="74" t="str">
        <x:v>2 passagens</x:v>
      </x:c>
      <x:c r="D9" s="74" t="str">
        <x:v>Na Veteran combinar S, 150 pessoais e 3 Agitators; depois Professional.</x:v>
      </x:c>
      <x:c r="E9" s="74" t="str">
        <x:v>Combinação muito arriscada e demorada.</x:v>
      </x:c>
      <x:c r="F9" s="74" t="str">
        <x:v>Alta habilidade e controle de spawns.</x:v>
      </x:c>
    </x:row>
    <x:row r="10">
      <x:c r="A10" s="78" t="str">
        <x:v>Desperate Escape — recomendada</x:v>
      </x:c>
      <x:c r="B10" s="78" t="str">
        <x:v>Amateur + Veteran + Professional</x:v>
      </x:c>
      <x:c r="C10" s="78" t="str">
        <x:v>3 passagens</x:v>
      </x:c>
      <x:c r="D10" s="78" t="str">
        <x:v>Amateur para S/150/Agitators; Veteran para desbloquear; Professional dedicado.</x:v>
      </x:c>
      <x:c r="E10" s="78" t="str">
        <x:v>Rota realista e auditável.</x:v>
      </x:c>
      <x:c r="F10" s="78" t="str">
        <x:v>Uma passagem extra.</x:v>
      </x:c>
    </x:row>
    <x:row r="11">
      <x:c r="A11" s="74" t="str">
        <x:v>Versus — mínimo por conta-alvo</x:v>
      </x:c>
      <x:c r="B11" s="74" t="str">
        <x:v>15 vitórias em 4 modos</x:v>
      </x:c>
      <x:c r="C11" s="74" t="str">
        <x:v>60 vitórias-alvo</x:v>
      </x:c>
      <x:c r="D11" s="74" t="str">
        <x:v>Pontuação, combos e 50 melees podem ser incorporados às partidas.</x:v>
      </x:c>
      <x:c r="E11" s="74" t="str">
        <x:v>Exige 4 contas para cobrir tudo sem trocar grupo.</x:v>
      </x:c>
      <x:c r="F11" s="74" t="str">
        <x:v>Disponibilidade online.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485772736b8466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  <x:col min="3" max="3" width="24" hidden="0" customWidth="1"/>
    <x:col min="4" max="4" width="68" hidden="0" customWidth="1"/>
    <x:col min="5" max="5" width="20" hidden="0" customWidth="1"/>
    <x:col min="6" max="6" width="16" hidden="0" customWidth="1"/>
  </x:cols>
  <x:sheetData>
    <x:row r="1" ht="30" customHeight="1">
      <x:c r="A1" s="5" t="str">
        <x:v>6 — Divergências entre fontes</x:v>
      </x:c>
    </x:row>
    <x:row r="2" ht="20" customHeight="1">
      <x:c r="A2" s="11" t="str">
        <x:v>AtlasAchievement • Portão A • verificação: 26/07/2026</x:v>
      </x:c>
      <x:c r="B2" t="str"/>
      <x:c r="C2" t="str"/>
      <x:c r="D2" t="str"/>
      <x:c r="E2" t="str"/>
      <x:c r="F2" t="str"/>
    </x:row>
    <x:row r="3" ht="30" customHeight="1">
      <x:c r="A3" s="66" t="str">
        <x:v>Tema</x:v>
      </x:c>
      <x:c r="B3" s="66" t="str">
        <x:v>Divergência</x:v>
      </x:c>
      <x:c r="C3" s="66" t="str">
        <x:v>Status</x:v>
      </x:c>
      <x:c r="D3" s="66" t="str">
        <x:v>Conclusão aplicada</x:v>
      </x:c>
      <x:c r="E3" s="66" t="str">
        <x:v>Fontes</x:v>
      </x:c>
      <x:c r="F3" s="66" t="str">
        <x:v>Confiança</x:v>
      </x:c>
    </x:row>
    <x:row r="4">
      <x:c r="A4" s="78" t="str">
        <x:v>Versus PS3 vs PS4</x:v>
      </x:c>
      <x:c r="B4" s="78" t="str">
        <x:v>Guias PS3 mostram 30 vitórias por modo e 100 melees; lista PS4 mostra 15 e 50.</x:v>
      </x:c>
      <x:c r="C4" s="78" t="str">
        <x:v>Resolvida</x:v>
      </x:c>
      <x:c r="D4" s="78" t="str">
        <x:v>Usar 15 vitórias em cada modo e 50 eliminações físicas no PS4.</x:v>
      </x:c>
      <x:c r="E4" s="78" t="str">
        <x:v>S05; S07</x:v>
      </x:c>
      <x:c r="F4" s="78" t="str">
        <x:v>Alta</x:v>
      </x:c>
    </x:row>
    <x:row r="5">
      <x:c r="A5" s="74" t="str">
        <x:v>PS5 nativo/autopop</x:v>
      </x:c>
      <x:c r="B5" s="74" t="str">
        <x:v>Algumas páginas tratam jogar no PS5 como 'versão PS5'.</x:v>
      </x:c>
      <x:c r="C5" s="74" t="str">
        <x:v>Resolvida</x:v>
      </x:c>
      <x:c r="D5" s="74" t="str">
        <x:v>Não há versão/lista PS5 nativa localizada; é a versão PS4 retrocompatível, sem segunda stack/autopop.</x:v>
      </x:c>
      <x:c r="E5" s="74" t="str">
        <x:v>S01; S02; S03; S12</x:v>
      </x:c>
      <x:c r="F5" s="74" t="str">
        <x:v>Alta</x:v>
      </x:c>
    </x:row>
    <x:row r="6">
      <x:c r="A6" s="78" t="str">
        <x:v>PS3→PS4</x:v>
      </x:c>
      <x:c r="B6" s="78" t="str">
        <x:v>Suposição de cross-save/cross-trophy.</x:v>
      </x:c>
      <x:c r="C6" s="78" t="str">
        <x:v>Resolvida</x:v>
      </x:c>
      <x:c r="D6" s="78" t="str">
        <x:v>Capcom confirma que save e troféus PS3 não transferem para PS4.</x:v>
      </x:c>
      <x:c r="E6" s="78" t="str">
        <x:v>S04</x:v>
      </x:c>
      <x:c r="F6" s="78" t="str">
        <x:v>Alta</x:v>
      </x:c>
    </x:row>
    <x:row r="7">
      <x:c r="A7" s="74" t="str">
        <x:v>DLC na platina</x:v>
      </x:c>
      <x:c r="B7" s="74" t="str">
        <x:v>Algumas páginas antigas misturam Versus ao total necessário.</x:v>
      </x:c>
      <x:c r="C7" s="74" t="str">
        <x:v>Resolvida</x:v>
      </x:c>
      <x:c r="D7" s="74" t="str">
        <x:v>Platina = 51 base; 20 adicionais só para 100%.</x:v>
      </x:c>
      <x:c r="E7" s="74" t="str">
        <x:v>S05; S07</x:v>
      </x:c>
      <x:c r="F7" s="74" t="str">
        <x:v>Alta</x:v>
      </x:c>
    </x:row>
    <x:row r="8">
      <x:c r="A8" s="78" t="str">
        <x:v>Infinite Rocket — tempos</x:v>
      </x:c>
      <x:c r="B8" s="78" t="str">
        <x:v>Fontes informais dizem que melhores tempos podem vir de dificuldades diferentes.</x:v>
      </x:c>
      <x:c r="C8" s="78" t="str">
        <x:v>Resolvida</x:v>
      </x:c>
      <x:c r="D8" s="78" t="str">
        <x:v>Rota segura exige os 16 melhores tempos somados em uma única dificuldade; Chapter Select substitui cada tempo.</x:v>
      </x:c>
      <x:c r="E8" s="78" t="str">
        <x:v>S06</x:v>
      </x:c>
      <x:c r="F8" s="78" t="str">
        <x:v>Média-alta</x:v>
      </x:c>
    </x:row>
    <x:row r="9">
      <x:c r="A9" s="74" t="str">
        <x:v>Masters of Removing</x:v>
      </x:c>
      <x:c r="B9" s="74" t="str">
        <x:v>Há relatos de gatilho removendo Jill no chão e outros exigindo contenção em pé.</x:v>
      </x:c>
      <x:c r="C9" s="74" t="str">
        <x:v>Método seguro definido</x:v>
      </x:c>
      <x:c r="D9" s="74" t="str">
        <x:v>Executar ao menos uma retirada enquanto Jill está em pé e imobilizada pelo parceiro.</x:v>
      </x:c>
      <x:c r="E9" s="74" t="str">
        <x:v>S06</x:v>
      </x:c>
      <x:c r="F9" s="74" t="str">
        <x:v>Média-alta</x:v>
      </x:c>
    </x:row>
    <x:row r="10">
      <x:c r="A10" s="78" t="str">
        <x:v>S ranks para figuras</x:v>
      </x:c>
      <x:c r="B10" s="78" t="str">
        <x:v>Discussão sobre misturar dificuldades.</x:v>
      </x:c>
      <x:c r="C10" s="78" t="str">
        <x:v>Impacto neutralizado</x:v>
      </x:c>
      <x:c r="D10" s="78" t="str">
        <x:v>Mesmo havendo evidência de registro por capítulo, a rota faz S 16/16 em Amateur para eliminar ambiguidade.</x:v>
      </x:c>
      <x:c r="E10" s="78" t="str">
        <x:v>S06</x:v>
      </x:c>
      <x:c r="F10" s="78" t="str">
        <x:v>Média-alta</x:v>
      </x:c>
    </x:row>
    <x:row r="11">
      <x:c r="A11" s="74" t="str">
        <x:v>Lost — Jill disponível</x:v>
      </x:c>
      <x:c r="B11" s="74" t="str">
        <x:v>Guias antigos divergem entre Jill imediata ou após primeira conclusão.</x:v>
      </x:c>
      <x:c r="C11" s="74" t="str">
        <x:v>Resolvida operacionalmente</x:v>
      </x:c>
      <x:c r="D11" s="74" t="str">
        <x:v>Chris é o padrão solo; planejar Jill somente após primeira conclusão. Isso não afeta troféus.</x:v>
      </x:c>
      <x:c r="E11" s="74" t="str">
        <x:v>S08</x:v>
      </x:c>
      <x:c r="F11" s="74" t="str">
        <x:v>Média-alta</x:v>
      </x:c>
    </x:row>
    <x:row r="12">
      <x:c r="A12" s="78" t="str">
        <x:v>Desperate Escape — desbloqueio</x:v>
      </x:c>
      <x:c r="B12" s="78" t="str">
        <x:v>Fontes variam entre 5-3 e conclusão total/host.</x:v>
      </x:c>
      <x:c r="C12" s="78" t="str">
        <x:v>Rota conservadora</x:v>
      </x:c>
      <x:c r="D12" s="78" t="str">
        <x:v>Tratar como disponível após a campanha principal ser concluída no próprio save; não depender de join coop.</x:v>
      </x:c>
      <x:c r="E12" s="78" t="str">
        <x:v>S06</x:v>
      </x:c>
      <x:c r="F12" s="78" t="str">
        <x:v>Média-alta</x:v>
      </x:c>
    </x:row>
    <x:row r="13">
      <x:c r="A13" s="74" t="str">
        <x:v>Way of the Warrior — atribuição</x:v>
      </x:c>
      <x:c r="B13" s="74" t="str">
        <x:v>Divergência sobre dano do parceiro invalidar ou apenas o golpe final.</x:v>
      </x:c>
      <x:c r="C13" s="74" t="str">
        <x:v>Impacto neutralizado</x:v>
      </x:c>
      <x:c r="D13" s="74" t="str">
        <x:v>Fazer solo, retirar armas da IA e dar todo dano/finalização pessoalmente.</x:v>
      </x:c>
      <x:c r="E13" s="74" t="str">
        <x:v>S06</x:v>
      </x:c>
      <x:c r="F13" s="74" t="str">
        <x:v>Média-alta</x:v>
      </x:c>
    </x:row>
    <x:row r="14">
      <x:c r="A14" s="78" t="str">
        <x:v>Regiões PS4</x:v>
      </x:c>
      <x:c r="B14" s="78" t="str">
        <x:v>Ausência de declaração oficial explícita sobre stacks regionais.</x:v>
      </x:c>
      <x:c r="C14" s="78" t="str">
        <x:v>Monitoramento</x:v>
      </x:c>
      <x:c r="D14" s="78" t="str">
        <x:v>Trackers indicam uma única lista PS4; rever antes da publicação.</x:v>
      </x:c>
      <x:c r="E14" s="78" t="str">
        <x:v>S05; S07</x:v>
      </x:c>
      <x:c r="F14" s="78" t="str">
        <x:v>Média-alta</x:v>
      </x:c>
    </x:row>
    <x:row r="15">
      <x:c r="A15" s="74" t="str">
        <x:v>Online/servidores</x:v>
      </x:c>
      <x:c r="B15" s="74" t="str">
        <x:v>Disponibilidade muda com o tempo; ausência de anúncio não é garantia futura.</x:v>
      </x:c>
      <x:c r="C15" s="74" t="str">
        <x:v>Monitoramento</x:v>
      </x:c>
      <x:c r="D15" s="74" t="str">
        <x:v>Funcionalidade/boost observados até 2025–2026; validar novamente na data de publicação.</x:v>
      </x:c>
      <x:c r="E15" s="74" t="str">
        <x:v>S01; S13</x:v>
      </x:c>
      <x:c r="F15" s="74" t="str">
        <x:v>Média</x:v>
      </x:c>
    </x:row>
  </x:sheetData>
  <x:mergeCells>
    <x:mergeCell ref="A1:F1"/>
    <x:mergeCell ref="A2:F2"/>
  </x:mergeCells>
  <x:conditionalFormatting sqref="C4:C15">
    <x:cfRule type="expression" dxfId="5" priority="1">
      <x:formula>C4="Monitoramento"</x:formula>
    </x:cfRule>
    <x:cfRule type="expression" dxfId="6" priority="2">
      <x:formula>C4="Resolvida"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3273952ef340b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8" hidden="0" customWidth="1"/>
    <x:col min="4" max="4" width="18" hidden="0" customWidth="1"/>
    <x:col min="5" max="5" width="56" hidden="0" customWidth="1"/>
    <x:col min="6" max="6" width="66" hidden="0" customWidth="1"/>
    <x:col min="7" max="7" width="30" hidden="0" customWidth="1"/>
  </x:cols>
  <x:sheetData>
    <x:row r="1" ht="30" customHeight="1">
      <x:c r="A1" s="5" t="str">
        <x:v>7 — Incertezas monitoradas após Portão B</x:v>
      </x:c>
    </x:row>
    <x:row r="2" ht="20" customHeight="1">
      <x:c r="A2" s="11" t="str">
        <x:v>Nenhuma bloqueia a rota; prevenção e recuperação estão incorporadas às etapas definitivas.</x:v>
      </x:c>
      <x:c r="B2" t="str"/>
      <x:c r="C2" t="str"/>
      <x:c r="D2" t="str"/>
      <x:c r="E2" t="str"/>
      <x:c r="F2" t="str"/>
      <x:c r="G2" t="str"/>
    </x:row>
    <x:row r="3" ht="30" customHeight="1">
      <x:c r="A3" s="66" t="str">
        <x:v>ID</x:v>
      </x:c>
      <x:c r="B3" s="66" t="str">
        <x:v>Tema</x:v>
      </x:c>
      <x:c r="C3" s="66" t="str">
        <x:v>Versão afetada</x:v>
      </x:c>
      <x:c r="D3" s="66" t="str">
        <x:v>Confiança</x:v>
      </x:c>
      <x:c r="E3" s="66" t="str">
        <x:v>Impacto potencial</x:v>
      </x:c>
      <x:c r="F3" s="66" t="str">
        <x:v>Mitigação</x:v>
      </x:c>
      <x:c r="G3" s="66" t="str">
        <x:v>Status</x:v>
      </x:c>
    </x:row>
    <x:row r="4">
      <x:c r="A4" s="78" t="str">
        <x:v>U01</x:v>
      </x:c>
      <x:c r="B4" s="78" t="str">
        <x:v>Disponibilidade online futura</x:v>
      </x:c>
      <x:c r="C4" s="78" t="str">
        <x:v>Versus / PS4</x:v>
      </x:c>
      <x:c r="D4" s="78" t="str">
        <x:v>Média-alta em 26/07/2026</x:v>
      </x:c>
      <x:c r="E4" s="78" t="str">
        <x:v>Troféus online podem tornar-se inviáveis após eventual encerramento.</x:v>
      </x:c>
      <x:c r="F4" s="78" t="str">
        <x:v>Revalidar Store, matchmaking e avisos Capcom/PlayStation imediatamente antes de publicar.</x:v>
      </x:c>
      <x:c r="G4" s="78" t="str">
        <x:v>Não bloqueia Portão B hoje.</x:v>
      </x:c>
    </x:row>
    <x:row r="5">
      <x:c r="A5" s="74" t="str">
        <x:v>U02</x:v>
      </x:c>
      <x:c r="B5" s="74" t="str">
        <x:v>Documentação oficial de stacks regionais</x:v>
      </x:c>
      <x:c r="C5" s="74" t="str">
        <x:v>PS4 todas as regiões</x:v>
      </x:c>
      <x:c r="D5" s="74" t="str">
        <x:v>Média-alta</x:v>
      </x:c>
      <x:c r="E5" s="74" t="str">
        <x:v>Uma stack regional inesperada poderia exigir cabeçalho específico.</x:v>
      </x:c>
      <x:c r="F5" s="74" t="str">
        <x:v>Trackers consultados apontam uma lista PS4; validar NPWR/Title ID em publicação.</x:v>
      </x:c>
      <x:c r="G5" s="74" t="str">
        <x:v>Não bloqueia rota.</x:v>
      </x:c>
    </x:row>
    <x:row r="6">
      <x:c r="A6" s="78" t="str">
        <x:v>U03</x:v>
      </x:c>
      <x:c r="B6" s="78" t="str">
        <x:v>Atribuição interna de kills em Way of the Warrior</x:v>
      </x:c>
      <x:c r="C6" s="78" t="str">
        <x:v>Desperate Escape</x:v>
      </x:c>
      <x:c r="D6" s="78" t="str">
        <x:v>Média-alta</x:v>
      </x:c>
      <x:c r="E6" s="78" t="str">
        <x:v>Se dano da IA interferir, tentativa poderia falhar em 149/150 oculto.</x:v>
      </x:c>
      <x:c r="F6" s="78" t="str">
        <x:v>Método elimina a variável: solo, IA desarmada, todo dano e golpe final pessoal.</x:v>
      </x:c>
      <x:c r="G6" s="78" t="str">
        <x:v>Impacto operacional neutralizado.</x:v>
      </x:c>
    </x:row>
    <x:row r="7">
      <x:c r="A7" s="74" t="str">
        <x:v>U04</x:v>
      </x:c>
      <x:c r="B7" s="74" t="str">
        <x:v>Gatilho interno exato de Masters of Removing</x:v>
      </x:c>
      <x:c r="C7" s="74" t="str">
        <x:v>Jogo-base 5-3</x:v>
      </x:c>
      <x:c r="D7" s="74" t="str">
        <x:v>Média-alta</x:v>
      </x:c>
      <x:c r="E7" s="74" t="str">
        <x:v>Remoção no chão pode ou não satisfazer o evento em todos os casos.</x:v>
      </x:c>
      <x:c r="F7" s="74" t="str">
        <x:v>Método seguro: retirar enquanto Jill está em pé e imobilizada; repetir 5-3 se necessário.</x:v>
      </x:c>
      <x:c r="G7" s="74" t="str">
        <x:v>Impacto operacional neutralizado.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3e14fbc4fa24cc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5" hidden="0" customWidth="1"/>
    <x:col min="3" max="3" width="72" hidden="0" customWidth="1"/>
    <x:col min="4" max="4" width="55" hidden="0" customWidth="1"/>
    <x:col min="5" max="5" width="62" hidden="0" customWidth="1"/>
    <x:col min="6" max="6" width="42" hidden="0" customWidth="1"/>
  </x:cols>
  <x:sheetData>
    <x:row r="1" ht="30" customHeight="1">
      <x:c r="A1" s="5" t="str">
        <x:v>8 — Rota preliminar (ARQUIVADA pelo Portão B)</x:v>
      </x:c>
    </x:row>
    <x:row r="2" ht="20" customHeight="1">
      <x:c r="A2" s="11" t="str">
        <x:v>Substituída pela planilha Rota_Definitiva em 26/07/2026.</x:v>
      </x:c>
      <x:c r="B2" t="str"/>
      <x:c r="C2" t="str"/>
      <x:c r="D2" t="str"/>
      <x:c r="E2" t="str"/>
      <x:c r="F2" t="str"/>
    </x:row>
    <x:row r="3" ht="30" customHeight="1">
      <x:c r="A3" s="66" t="str">
        <x:v>Etapa</x:v>
      </x:c>
      <x:c r="B3" s="66" t="str">
        <x:v>Objetivo</x:v>
      </x:c>
      <x:c r="C3" s="66" t="str">
        <x:v>Faça nesta etapa</x:v>
      </x:c>
      <x:c r="D3" s="66" t="str">
        <x:v>Troféus/grupos cobertos</x:v>
      </x:c>
      <x:c r="E3" s="66" t="str">
        <x:v>Riscos/avisos</x:v>
      </x:c>
      <x:c r="F3" s="66" t="str">
        <x:v>Save/recuperação</x:v>
      </x:c>
    </x:row>
    <x:row r="4">
      <x:c r="A4" s="78" t="n">
        <x:v>1</x:v>
      </x:c>
      <x:c r="B4" s="78" t="str">
        <x:v>Campanha inicial no Normal</x:v>
      </x:c>
      <x:c r="C4" s="78" t="str">
        <x:v>Concluir 16 capítulos, coletar 30 BSAA Emblems, registrar tesouros/armas e fazer situacionais naturais.</x:v>
      </x:c>
      <x:c r="D4" s="78" t="str">
        <x:v>Soldier, Recruit, 16 troféus de capítulos, Badge of Honor e grande parte dos cumulativos.</x:v>
      </x:c>
      <x:c r="E4" s="78" t="str">
        <x:v>Não vender armas; reservar ovos; fazer Bad Blood/Heart of Africa e Masters of Removing em 5-3.</x:v>
      </x:c>
      <x:c r="F4" s="78" t="str">
        <x:v>Backup externo opcional antes de reorganizar inventário.</x:v>
      </x:c>
    </x:row>
    <x:row r="5">
      <x:c r="A5" s="74" t="n">
        <x:v>2</x:v>
      </x:c>
      <x:c r="B5" s="74" t="str">
        <x:v>Limpeza + sweep Amateur por Chapter Select</x:v>
      </x:c>
      <x:c r="C5" s="74" t="str">
        <x:v>Farmar dinheiro/EP, obter S nos 16 capítulos, baixar o total de tempo para &lt;5h em uma dificuldade, concluir 50 tesouros, 27 itens, 18 upgrades, trajes, figuras e situacionais.</x:v>
      </x:c>
      <x:c r="D5" s="74" t="str">
        <x:v>Coleção/economia/ranks/tempo; Infinite Rocket Launcher como preparação.</x:v>
      </x:c>
      <x:c r="E5" s="74" t="str">
        <x:v>Não gastar EP sem reservar 22.000 para figuras e 134.000 para personagens Versus.</x:v>
      </x:c>
      <x:c r="F5" s="74" t="str">
        <x:v>Backup externo opcional antes de gastos maciços.</x:v>
      </x:c>
    </x:row>
    <x:row r="6">
      <x:c r="A6" s="78" t="n">
        <x:v>3</x:v>
      </x:c>
      <x:c r="B6" s="78" t="str">
        <x:v>Campanha Veteran</x:v>
      </x:c>
      <x:c r="C6" s="78" t="str">
        <x:v>Registrar os 16 capítulos em Veteran usando arsenal infinito; desbloquear Professional.</x:v>
      </x:c>
      <x:c r="D6" s="78" t="str">
        <x:v>Veteran e eventuais capítulos/combates restantes.</x:v>
      </x:c>
      <x:c r="E6" s="78" t="str">
        <x:v>Começar cada capítulo do início e conferir 16/16.</x:v>
      </x:c>
      <x:c r="F6" s="78" t="str">
        <x:v>Sem save interno estratégico; verificação no Chapter Select.</x:v>
      </x:c>
    </x:row>
    <x:row r="7">
      <x:c r="A7" s="74" t="n">
        <x:v>4</x:v>
      </x:c>
      <x:c r="B7" s="74" t="str">
        <x:v>Campanha Professional</x:v>
      </x:c>
      <x:c r="C7" s="74" t="str">
        <x:v>Concluir 16/16 em Professional com Infinite Rocket/armas infinitas e coop nos gargalos.</x:v>
      </x:c>
      <x:c r="D7" s="74" t="str">
        <x:v>War Hero e platina, se os 50 troféus base já estiverem completos.</x:v>
      </x:c>
      <x:c r="E7" s="74" t="str">
        <x:v>IA é frágil; não entrar no meio de capítulo coop.</x:v>
      </x:c>
      <x:c r="F7" s="74" t="str">
        <x:v>Repetir apenas capítulos sem crédito.</x:v>
      </x:c>
    </x:row>
    <x:row r="8">
      <x:c r="A8" s="78" t="n">
        <x:v>5</x:v>
      </x:c>
      <x:c r="B8" s="78" t="str">
        <x:v>Versus — preparação e boost</x:v>
      </x:c>
      <x:c r="C8" s="78" t="str">
        <x:v>Acumular/comprar 8 personagens, montar grupo de 4 contas e executar rotação dos quatro modos.</x:v>
      </x:c>
      <x:c r="D8" s="78" t="str">
        <x:v>10 troféus Versus.</x:v>
      </x:c>
      <x:c r="E8" s="78" t="str">
        <x:v>Aplicar requisitos PS4 15/50; encerrar partidas normalmente.</x:v>
      </x:c>
      <x:c r="F8" s="78" t="str">
        <x:v>Planilha de rotação externa recomendada.</x:v>
      </x:c>
    </x:row>
    <x:row r="9">
      <x:c r="A9" s="74" t="n">
        <x:v>6</x:v>
      </x:c>
      <x:c r="B9" s="74" t="str">
        <x:v>Lost — objetivos em baixa dificuldade</x:v>
      </x:c>
      <x:c r="C9" s="74" t="str">
        <x:v>Completar, obter S, destruir 18/18 estrelas e cumprir Kung Fu Fighting.</x:v>
      </x:c>
      <x:c r="D9" s="74" t="str">
        <x:v>Must've Got Lost; It's Just a Bad Dream!; Kung Fu Fighting; Wish Upon a Star.</x:v>
      </x:c>
      <x:c r="E9" s="74" t="str">
        <x:v>18 estrelas na mesma passagem; refazer estrelas após retry.</x:v>
      </x:c>
      <x:c r="F9" s="74" t="str">
        <x:v>Checkpoint apenas dentro da passagem; falha final exige nova run.</x:v>
      </x:c>
    </x:row>
    <x:row r="10">
      <x:c r="A10" s="78" t="n">
        <x:v>7</x:v>
      </x:c>
      <x:c r="B10" s="78" t="str">
        <x:v>Lost — Veteran e Professional</x:v>
      </x:c>
      <x:c r="C10" s="78" t="str">
        <x:v>Concluir Veteran para liberar Professional; depois Professional dedicado.</x:v>
      </x:c>
      <x:c r="D10" s="78" t="str">
        <x:v>Night Terrors.</x:v>
      </x:c>
      <x:c r="E10" s="78" t="str">
        <x:v>Professional da campanha principal não libera o da DLC.</x:v>
      </x:c>
      <x:c r="F10" s="78" t="str">
        <x:v>Nova passagem da DLC.</x:v>
      </x:c>
    </x:row>
    <x:row r="11">
      <x:c r="A11" s="74" t="n">
        <x:v>8</x:v>
      </x:c>
      <x:c r="B11" s="74" t="str">
        <x:v>Desperate Escape — objetivos em Amateur</x:v>
      </x:c>
      <x:c r="C11" s="74" t="str">
        <x:v>Obter S, 150 abates pessoais e matar os três Agitators na mesma passagem.</x:v>
      </x:c>
      <x:c r="D11" s="74" t="str">
        <x:v>Getaway; The Great Escape; Way of the Warrior; Shoot the Messenger.</x:v>
      </x:c>
      <x:c r="E11" s="74" t="str">
        <x:v>Retirar armas da IA e respeitar gatilhos de spawn.</x:v>
      </x:c>
      <x:c r="F11" s="74" t="str">
        <x:v>Falha após o fim exige nova passagem.</x:v>
      </x:c>
    </x:row>
    <x:row r="12">
      <x:c r="A12" s="78" t="n">
        <x:v>9</x:v>
      </x:c>
      <x:c r="B12" s="78" t="str">
        <x:v>Desperate Escape — Veteran e Professional</x:v>
      </x:c>
      <x:c r="C12" s="78" t="str">
        <x:v>Concluir Veteran para liberar Professional; depois Professional com parceiro.</x:v>
      </x:c>
      <x:c r="D12" s="78" t="str">
        <x:v>Run the Gauntlet.</x:v>
      </x:c>
      <x:c r="E12" s="78" t="str">
        <x:v>Preservar recursos para área final e não misturar com objetivos demorados.</x:v>
      </x:c>
      <x:c r="F12" s="78" t="str">
        <x:v>Nova passagem da DLC.</x:v>
      </x:c>
    </x:row>
    <x:row r="13">
      <x:c r="A13" s="74" t="n">
        <x:v>10</x:v>
      </x:c>
      <x:c r="B13" s="74" t="str">
        <x:v>Auditoria de 100%</x:v>
      </x:c>
      <x:c r="C13" s="74" t="str">
        <x:v>Confirmar 71/71, pacotes 51+10+5+5 e nenhuma linha sem etapa/método.</x:v>
      </x:c>
      <x:c r="D13" s="74" t="str">
        <x:v>100%.</x:v>
      </x:c>
      <x:c r="E13" s="74" t="str">
        <x:v>Revalidar online antes da publicação.</x:v>
      </x:c>
      <x:c r="F13" s="74" t="str">
        <x:v>—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dff1914cf294ff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52" hidden="0" customWidth="1"/>
    <x:col min="4" max="4" width="28" hidden="0" customWidth="1"/>
  </x:cols>
  <x:sheetData>
    <x:row r="1" ht="30" customHeight="1">
      <x:c r="A1" s="5" t="str">
        <x:v>9 — Auditoria de completude do Portão A</x:v>
      </x:c>
    </x:row>
    <x:row r="2" ht="20" customHeight="1">
      <x:c r="A2" s="11" t="str">
        <x:v>AtlasAchievement • Portão A • verificação: 26/07/2026</x:v>
      </x:c>
      <x:c r="B2" t="str"/>
      <x:c r="C2" t="str"/>
      <x:c r="D2" t="str"/>
    </x:row>
    <x:row r="3" ht="30" customHeight="1">
      <x:c r="A3" s="66" t="str">
        <x:v>Teste</x:v>
      </x:c>
      <x:c r="B3" s="66" t="str">
        <x:v>Esperado</x:v>
      </x:c>
      <x:c r="C3" s="66" t="str">
        <x:v>Resultado</x:v>
      </x:c>
      <x:c r="D3" s="66" t="str">
        <x:v>Status</x:v>
      </x:c>
    </x:row>
    <x:row r="4">
      <x:c r="A4" s="78" t="str">
        <x:v>Total oficial</x:v>
      </x:c>
      <x:c r="B4" s="78" t="str">
        <x:v>71</x:v>
      </x:c>
      <x:c r="C4" s="78" t="str">
        <x:v>71 linhas na matriz</x:v>
      </x:c>
      <x:c r="D4" s="78" t="str">
        <x:v>Aprovado</x:v>
      </x:c>
    </x:row>
    <x:row r="5">
      <x:c r="A5" s="74" t="str">
        <x:v>Distribuição por pacote</x:v>
      </x:c>
      <x:c r="B5" s="74" t="str">
        <x:v>51 + 10 + 5 + 5</x:v>
      </x:c>
      <x:c r="C5" s="74" t="str">
        <x:v>51 + 10 + 5 + 5</x:v>
      </x:c>
      <x:c r="D5" s="74" t="str">
        <x:v>Aprovado</x:v>
      </x:c>
    </x:row>
    <x:row r="6">
      <x:c r="A6" s="78" t="str">
        <x:v>Tipos</x:v>
      </x:c>
      <x:c r="B6" s="78" t="str">
        <x:v>1P / 1O / 16P / 53B</x:v>
      </x:c>
      <x:c r="C6" s="78" t="str">
        <x:v>Calculado na matriz</x:v>
      </x:c>
      <x:c r="D6" s="78" t="str">
        <x:v>Aprovado</x:v>
      </x:c>
    </x:row>
    <x:row r="7">
      <x:c r="A7" s="74" t="str">
        <x:v>Troféus sem etapa</x:v>
      </x:c>
      <x:c r="B7" s="74" t="str">
        <x:v>0</x:v>
      </x:c>
      <x:c r="C7" s="74" t="str">
        <x:v>0</x:v>
      </x:c>
      <x:c r="D7" s="74" t="str">
        <x:v>Aprovado</x:v>
      </x:c>
    </x:row>
    <x:row r="8">
      <x:c r="A8" s="78" t="str">
        <x:v>Troféus sem método</x:v>
      </x:c>
      <x:c r="B8" s="78" t="str">
        <x:v>0</x:v>
      </x:c>
      <x:c r="C8" s="78" t="str">
        <x:v>0</x:v>
      </x:c>
      <x:c r="D8" s="78" t="str">
        <x:v>Aprovado</x:v>
      </x:c>
    </x:row>
    <x:row r="9">
      <x:c r="A9" s="74" t="str">
        <x:v>Perdíveis/condicionais sem prevenção</x:v>
      </x:c>
      <x:c r="B9" s="74" t="str">
        <x:v>0</x:v>
      </x:c>
      <x:c r="C9" s="74" t="str">
        <x:v>0</x:v>
      </x:c>
      <x:c r="D9" s="74" t="str">
        <x:v>Aprovado</x:v>
      </x:c>
    </x:row>
    <x:row r="10">
      <x:c r="A10" s="78" t="str">
        <x:v>Online sinalizado</x:v>
      </x:c>
      <x:c r="B10" s="78" t="str">
        <x:v>10 Versus</x:v>
      </x:c>
      <x:c r="C10" s="78" t="str">
        <x:v>10</x:v>
      </x:c>
      <x:c r="D10" s="78" t="str">
        <x:v>Aprovado</x:v>
      </x:c>
    </x:row>
    <x:row r="11">
      <x:c r="A11" s="74" t="str">
        <x:v>DLC separada da platina</x:v>
      </x:c>
      <x:c r="B11" s="74" t="str">
        <x:v>Sim</x:v>
      </x:c>
      <x:c r="C11" s="74" t="str">
        <x:v>Sim</x:v>
      </x:c>
      <x:c r="D11" s="74" t="str">
        <x:v>Aprovado</x:v>
      </x:c>
    </x:row>
    <x:row r="12">
      <x:c r="A12" s="78" t="str">
        <x:v>PS4/PS5 esclarecido</x:v>
      </x:c>
      <x:c r="B12" s="78" t="str">
        <x:v>PS4 nativo; PS5 retrocompatível</x:v>
      </x:c>
      <x:c r="C12" s="78" t="str">
        <x:v>Coberto</x:v>
      </x:c>
      <x:c r="D12" s="78" t="str">
        <x:v>Aprovado</x:v>
      </x:c>
    </x:row>
    <x:row r="13">
      <x:c r="A13" s="74" t="str">
        <x:v>Save/autopop/transferência</x:v>
      </x:c>
      <x:c r="B13" s="74" t="str">
        <x:v>Coberto</x:v>
      </x:c>
      <x:c r="C13" s="74" t="str">
        <x:v>Coberto</x:v>
      </x:c>
      <x:c r="D13" s="74" t="str">
        <x:v>Aprovado</x:v>
      </x:c>
    </x:row>
    <x:row r="14">
      <x:c r="A14" s="78" t="str">
        <x:v>Listas de apoio</x:v>
      </x:c>
      <x:c r="B14" s="78" t="str">
        <x:v>30 emblemas; 50 tesouros; 27 Stockpile; 18 upgrades</x:v>
      </x:c>
      <x:c r="C14" s="78" t="str">
        <x:v>Todas presentes</x:v>
      </x:c>
      <x:c r="D14" s="78" t="str">
        <x:v>Aprovado</x:v>
      </x:c>
    </x:row>
    <x:row r="15">
      <x:c r="A15" s="74" t="str">
        <x:v>Divergências críticas abertas</x:v>
      </x:c>
      <x:c r="B15" s="74" t="str">
        <x:v>0</x:v>
      </x:c>
      <x:c r="C15" s="74" t="str">
        <x:v>0</x:v>
      </x:c>
      <x:c r="D15" s="74" t="str">
        <x:v>Aprovado</x:v>
      </x:c>
    </x:row>
    <x:row r="16">
      <x:c r="A16" s="78" t="str">
        <x:v>Pendências não bloqueantes</x:v>
      </x:c>
      <x:c r="B16" s="78" t="str">
        <x:v>4</x:v>
      </x:c>
      <x:c r="C16" s="78" t="str">
        <x:v>4 monitoramentos/métodos conservadores</x:v>
      </x:c>
      <x:c r="D16" s="78" t="str">
        <x:v>Aprovado com monitoramento</x:v>
      </x:c>
    </x:row>
    <x:row r="17">
      <x:c r="A17" s="74" t="str">
        <x:v>Veredito Portão A</x:v>
      </x:c>
      <x:c r="B17" s="74" t="str">
        <x:v>APROVADO PARA PORTÃO B</x:v>
      </x:c>
      <x:c r="C17" s="74" t="str">
        <x:v>—</x:v>
      </x:c>
      <x:c r="D17" s="74" t="str">
        <x:v>APROVADO PARA PORTÃO B</x:v>
      </x:c>
    </x:row>
  </x:sheetData>
  <x:mergeCells>
    <x:mergeCell ref="A1:D1"/>
    <x:mergeCell ref="A2:D2"/>
  </x:mergeCells>
  <x:conditionalFormatting sqref="D4:D17">
    <x:cfRule type="expression" dxfId="7" priority="1">
      <x:formula>LEFT(D4,8)="Aprovado"</x:formula>
    </x:cfRule>
    <x:cfRule type="expression" dxfId="8" priority="2">
      <x:formula>D4="APROVADO PARA PORTÃO 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b4b17469ab4dd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6" hidden="0" customWidth="1"/>
    <x:col min="4" max="4" width="75" hidden="0" customWidth="1"/>
    <x:col min="5" max="5" width="65" hidden="0" customWidth="1"/>
    <x:col min="6" max="6" width="16" hidden="0" customWidth="1"/>
  </x:cols>
  <x:sheetData>
    <x:row r="1" ht="30" customHeight="1">
      <x:c r="A1" s="5" t="str">
        <x:v>10 — Relatório de fontes</x:v>
      </x:c>
    </x:row>
    <x:row r="2" ht="20" customHeight="1">
      <x:c r="A2" s="11" t="str">
        <x:v>AtlasAchievement • Portão A • verificação: 26/07/2026</x:v>
      </x:c>
      <x:c r="B2" t="str"/>
      <x:c r="C2" t="str"/>
      <x:c r="D2" t="str"/>
      <x:c r="E2" t="str"/>
      <x:c r="F2" t="str"/>
    </x:row>
    <x:row r="3" ht="30" customHeight="1">
      <x:c r="A3" s="66" t="str">
        <x:v>ID</x:v>
      </x:c>
      <x:c r="B3" s="66" t="str">
        <x:v>Fonte</x:v>
      </x:c>
      <x:c r="C3" s="66" t="str">
        <x:v>Tipo</x:v>
      </x:c>
      <x:c r="D3" s="66" t="str">
        <x:v>URL</x:v>
      </x:c>
      <x:c r="E3" s="66" t="str">
        <x:v>Uso</x:v>
      </x:c>
      <x:c r="F3" s="66" t="str">
        <x:v>Confiança</x:v>
      </x:c>
    </x:row>
    <x:row r="4">
      <x:c r="A4" s="78" t="str">
        <x:v>S01</x:v>
      </x:c>
      <x:c r="B4" s="78" t="str">
        <x:v>PlayStation — Resident Evil 5 (PS4)</x:v>
      </x:c>
      <x:c r="C4" s="78" t="str">
        <x:v>Oficial / plataforma</x:v>
      </x:c>
      <x:c r="D4" s="78" t="str">
        <x:v>https://www.playstation.com/pt-br/games/resident-evil-5/</x:v>
      </x:c>
      <x:c r="E4" s="78" t="str">
        <x:v>Versão PS4, lançamento, conteúdo incluído, online/PS Plus, execução no PS5.</x:v>
      </x:c>
      <x:c r="F4" s="78" t="str">
        <x:v>Alta</x:v>
      </x:c>
    </x:row>
    <x:row r="5">
      <x:c r="A5" s="74" t="str">
        <x:v>S02</x:v>
      </x:c>
      <x:c r="B5" s="74" t="str">
        <x:v>PlayStation Support — retrocompatibilidade PS5</x:v>
      </x:c>
      <x:c r="C5" s="74" t="str">
        <x:v>Oficial / plataforma</x:v>
      </x:c>
      <x:c r="D5" s="74" t="str">
        <x:v>https://www.playstation.com/en-gb/support/games/ps5-backward-compatibility-games/</x:v>
      </x:c>
      <x:c r="E5" s="74" t="str">
        <x:v>PS5 executa jogos PS4; exigência de leitor para disco; ressalvas gerais.</x:v>
      </x:c>
      <x:c r="F5" s="74" t="str">
        <x:v>Alta</x:v>
      </x:c>
    </x:row>
    <x:row r="6">
      <x:c r="A6" s="78" t="str">
        <x:v>S03</x:v>
      </x:c>
      <x:c r="B6" s="78" t="str">
        <x:v>PlayStation Support — transferência de dados PS4→PS5</x:v>
      </x:c>
      <x:c r="C6" s="78" t="str">
        <x:v>Oficial / plataforma</x:v>
      </x:c>
      <x:c r="D6" s="78" t="str">
        <x:v>https://www.playstation.com/en-us/support/hardware/transfer-games-saved-data-ps4-ps5/</x:v>
      </x:c>
      <x:c r="E6" s="78" t="str">
        <x:v>Movimentação do save PS4 para PS5 na mesma versão PS4.</x:v>
      </x:c>
      <x:c r="F6" s="78" t="str">
        <x:v>Alta</x:v>
      </x:c>
    </x:row>
    <x:row r="7">
      <x:c r="A7" s="74" t="str">
        <x:v>S04</x:v>
      </x:c>
      <x:c r="B7" s="74" t="str">
        <x:v>Capcom Support — PS3→PS4</x:v>
      </x:c>
      <x:c r="C7" s="74" t="str">
        <x:v>Oficial / desenvolvedora</x:v>
      </x:c>
      <x:c r="D7" s="74" t="str">
        <x:v>https://www.capcom.co.jp/support/faq/platform_ps4_bio5_0135628.html</x:v>
      </x:c>
      <x:c r="E7" s="74" t="str">
        <x:v>Save e troféus da versão PS3 não são transferidos para PS4.</x:v>
      </x:c>
      <x:c r="F7" s="74" t="str">
        <x:v>Alta</x:v>
      </x:c>
    </x:row>
    <x:row r="8">
      <x:c r="A8" s="78" t="str">
        <x:v>S05</x:v>
      </x:c>
      <x:c r="B8" s="78" t="str">
        <x:v>Exophase — lista PS4</x:v>
      </x:c>
      <x:c r="C8" s="78" t="str">
        <x:v>Rastreador de troféus</x:v>
      </x:c>
      <x:c r="D8" s="78" t="str">
        <x:v>https://www.exophase.com/game/resident-evil-5-ps4/trophies/</x:v>
      </x:c>
      <x:c r="E8" s="78" t="str">
        <x:v>Lista de 71 troféus, nomes, descrições e pacotes PS4.</x:v>
      </x:c>
      <x:c r="F8" s="78" t="str">
        <x:v>Alta</x:v>
      </x:c>
    </x:row>
    <x:row r="9">
      <x:c r="A9" s="74" t="str">
        <x:v>S06</x:v>
      </x:c>
      <x:c r="B9" s="74" t="str">
        <x:v>PlayStationTrophies — guia PS4</x:v>
      </x:c>
      <x:c r="C9" s="74" t="str">
        <x:v>Guia especializado</x:v>
      </x:c>
      <x:c r="D9" s="74" t="str">
        <x:v>https://www.playstationtrophies.org/game/resident-evil-5-ps4/guide/</x:v>
      </x:c>
      <x:c r="E9" s="74" t="str">
        <x:v>Triangulação de métodos, ranks, farms, DLCs e requisitos situacionais.</x:v>
      </x:c>
      <x:c r="F9" s="74" t="str">
        <x:v>Média-alta</x:v>
      </x:c>
    </x:row>
    <x:row r="10">
      <x:c r="A10" s="78" t="str">
        <x:v>S07</x:v>
      </x:c>
      <x:c r="B10" s="78" t="str">
        <x:v>PlayStationTrophies — lista PS4</x:v>
      </x:c>
      <x:c r="C10" s="78" t="str">
        <x:v>Rastreador de troféus</x:v>
      </x:c>
      <x:c r="D10" s="78" t="str">
        <x:v>https://www.playstationtrophies.org/game/resident-evil-5-ps4/trophies/</x:v>
      </x:c>
      <x:c r="E10" s="78" t="str">
        <x:v>Contagem, pacotes e comparação com Exophase.</x:v>
      </x:c>
      <x:c r="F10" s="78" t="str">
        <x:v>Alta</x:v>
      </x:c>
    </x:row>
    <x:row r="11">
      <x:c r="A11" s="74" t="str">
        <x:v>S08</x:v>
      </x:c>
      <x:c r="B11" s="74" t="str">
        <x:v>PlayStationTrophies — Lost in Nightmares</x:v>
      </x:c>
      <x:c r="C11" s="74" t="str">
        <x:v>Guia especializado</x:v>
      </x:c>
      <x:c r="D11" s="74" t="str">
        <x:v>https://www.playstationtrophies.org/forum/topic/157297-resident-evil-lost-in-nightmares-~-trophy-guide-and-roadmap/</x:v>
      </x:c>
      <x:c r="E11" s="74" t="str">
        <x:v>Veteran/Professional, rank S, 18 estrelas e Kung Fu Fighting.</x:v>
      </x:c>
      <x:c r="F11" s="74" t="str">
        <x:v>Média</x:v>
      </x:c>
    </x:row>
    <x:row r="12">
      <x:c r="A12" s="78" t="str">
        <x:v>S09</x:v>
      </x:c>
      <x:c r="B12" s="78" t="str">
        <x:v>GameFAQs — lista PS4</x:v>
      </x:c>
      <x:c r="C12" s="78" t="str">
        <x:v>Rastreador secundário</x:v>
      </x:c>
      <x:c r="D12" s="78" t="str">
        <x:v>https://gamefaqs.gamespot.com/ps4/187184-resident-evil-5/trophies</x:v>
      </x:c>
      <x:c r="E12" s="78" t="str">
        <x:v>Triangulação da lista e descrições PS4.</x:v>
      </x:c>
      <x:c r="F12" s="78" t="str">
        <x:v>Média-alta</x:v>
      </x:c>
    </x:row>
    <x:row r="13">
      <x:c r="A13" s="74" t="str">
        <x:v>S10</x:v>
      </x:c>
      <x:c r="B13" s="74" t="str">
        <x:v>GamesRadar — BSAA Emblems</x:v>
      </x:c>
      <x:c r="C13" s="74" t="str">
        <x:v>Guia de coletáveis</x:v>
      </x:c>
      <x:c r="D13" s="74" t="str">
        <x:v>https://www.gamesradar.com/resident-evil-5-bsaa-emblem-guide/</x:v>
      </x:c>
      <x:c r="E13" s="74" t="str">
        <x:v>Distribuição e localização dos 30 emblemas.</x:v>
      </x:c>
      <x:c r="F13" s="74" t="str">
        <x:v>Média-alta</x:v>
      </x:c>
    </x:row>
    <x:row r="14">
      <x:c r="A14" s="78" t="str">
        <x:v>S11</x:v>
      </x:c>
      <x:c r="B14" s="78" t="str">
        <x:v>Resident Evil Wiki — awards/itens</x:v>
      </x:c>
      <x:c r="C14" s="78" t="str">
        <x:v>Wiki especializada</x:v>
      </x:c>
      <x:c r="D14" s="78" t="str">
        <x:v>https://residentevil.fandom.com/wiki/List_of_awards_for_Resident_Evil_5</x:v>
      </x:c>
      <x:c r="E14" s="78" t="str">
        <x:v>Triangulação de troféus, itens, desbloqueios e conteúdos.</x:v>
      </x:c>
      <x:c r="F14" s="78" t="str">
        <x:v>Média</x:v>
      </x:c>
    </x:row>
    <x:row r="15">
      <x:c r="A15" s="74" t="str">
        <x:v>S12</x:v>
      </x:c>
      <x:c r="B15" s="74" t="str">
        <x:v>Comunidade recente — PS4/PS5 e coop</x:v>
      </x:c>
      <x:c r="C15" s="74" t="str">
        <x:v>Evidência complementar</x:v>
      </x:c>
      <x:c r="D15" s="74" t="str">
        <x:v>https://www.reddit.com/r/residentevil/comments/1jf4dn8/</x:v>
      </x:c>
      <x:c r="E15" s="74" t="str">
        <x:v>Confirmação prática de que PS5 usa a versão PS4 e conecta com PS4/PS5.</x:v>
      </x:c>
      <x:c r="F15" s="74" t="str">
        <x:v>Média</x:v>
      </x:c>
    </x:row>
    <x:row r="16">
      <x:c r="A16" s="78" t="str">
        <x:v>S13</x:v>
      </x:c>
      <x:c r="B16" s="78" t="str">
        <x:v>Comunidade recente — atividade online</x:v>
      </x:c>
      <x:c r="C16" s="78" t="str">
        <x:v>Evidência complementar</x:v>
      </x:c>
      <x:c r="D16" s="78" t="str">
        <x:v>https://www.reddit.com/r/residentevil5online/comments/1pk4hzo/resident_evil_5_ps4pc/</x:v>
      </x:c>
      <x:c r="E16" s="78" t="str">
        <x:v>Evidência de sessões/boost no fim de 2025; não substitui monitoramento.</x:v>
      </x:c>
      <x:c r="F16" s="78" t="str">
        <x:v>Média</x:v>
      </x:c>
    </x:row>
    <x:row r="17">
      <x:c r="A17" s="124" t="str">
        <x:v>S14</x:v>
      </x:c>
      <x:c r="B17" s="124" t="str">
        <x:v>Steam Community — tesouros e emblemas</x:v>
      </x:c>
      <x:c r="C17" s="124" t="str">
        <x:v>Guia de coletáveis</x:v>
      </x:c>
      <x:c r="D17" s="124" t="str">
        <x:v>https://steamcommunity.com/sharedfiles/filedetails/?id=448808219</x:v>
      </x:c>
      <x:c r="E17" s="124" t="str">
        <x:v>Atribuição por capítulo dos 50 tipos e 30 emblemas; divergências tratadas conservadoramente.</x:v>
      </x:c>
      <x:c r="F17" s="124" t="str">
        <x:v>Média-alta</x:v>
      </x:c>
    </x:row>
    <x:row r="18">
      <x:c r="A18" s="124" t="str">
        <x:v>S15</x:v>
      </x:c>
      <x:c r="B18" s="124" t="str">
        <x:v>GameFAQs — três Agitator Majini</x:v>
      </x:c>
      <x:c r="C18" s="124" t="str">
        <x:v>Fórum / evidência complementar</x:v>
      </x:c>
      <x:c r="D18" s="124" t="str">
        <x:v>https://gamefaqs.gamespot.com/boards/991006-resident-evil-5-desperate-escape/53869452</x:v>
      </x:c>
      <x:c r="E18" s="124" t="str">
        <x:v>Gatilhos das três áreas; usado com rota conservadora em Veteran.</x:v>
      </x:c>
      <x:c r="F18" s="124" t="str">
        <x:v>Média</x:v>
      </x:c>
    </x:row>
    <x:row r="19">
      <x:c r="A19" s="124" t="str">
        <x:v>S16</x:v>
      </x:c>
      <x:c r="B19" s="124" t="str">
        <x:v>PlayStation Store — produto PS4</x:v>
      </x:c>
      <x:c r="C19" s="124" t="str">
        <x:v>Oficial / plataforma</x:v>
      </x:c>
      <x:c r="D19" s="124" t="str">
        <x:v>https://store.playstation.com/en-us/product/UP0102-CUSA04437_00-RE5HDPS400000000</x:v>
      </x:c>
      <x:c r="E19" s="124" t="str">
        <x:v>Confirma plataforma PS4, conteúdo incluído e execução no PS5.</x:v>
      </x:c>
      <x:c r="F19" s="124" t="str">
        <x:v>Alta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c5df7916ee7475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8" hidden="0" customWidth="1"/>
    <x:col min="4" max="4" width="72" hidden="0" customWidth="1"/>
    <x:col min="5" max="5" width="20" hidden="0" customWidth="1"/>
  </x:cols>
  <x:sheetData>
    <x:row r="1" ht="30" customHeight="1">
      <x:c r="A1" s="5" t="str">
        <x:v>Checklist — 30 BSAA Emblems</x:v>
      </x:c>
    </x:row>
    <x:row r="2" ht="20" customHeight="1">
      <x:c r="A2" s="11" t="str">
        <x:v>AtlasAchievement • Portão A • verificação: 26/07/2026</x:v>
      </x:c>
      <x:c r="B2" t="str"/>
      <x:c r="C2" t="str"/>
      <x:c r="D2" t="str"/>
      <x:c r="E2" t="str"/>
    </x:row>
    <x:row r="3" ht="30" customHeight="1">
      <x:c r="A3" s="66" t="str">
        <x:v>#</x:v>
      </x:c>
      <x:c r="B3" s="66" t="str">
        <x:v>Capítulo</x:v>
      </x:c>
      <x:c r="C3" s="66" t="str">
        <x:v>Área</x:v>
      </x:c>
      <x:c r="D3" s="66" t="str">
        <x:v>Referência executável</x:v>
      </x:c>
      <x:c r="E3" s="66" t="str">
        <x:v>Recuperação</x:v>
      </x:c>
    </x:row>
    <x:row r="4">
      <x:c r="A4" s="78" t="n">
        <x:v>1</x:v>
      </x:c>
      <x:c r="B4" s="78" t="str">
        <x:v>1-2</x:v>
      </x:c>
      <x:c r="C4" s="78" t="str">
        <x:v>Após a praça</x:v>
      </x:c>
      <x:c r="D4" s="78" t="str">
        <x:v>Na sacada/estrutura no limite da área; mire do ponto alto.</x:v>
      </x:c>
      <x:c r="E4" s="78" t="str">
        <x:v>Chapter Select</x:v>
      </x:c>
    </x:row>
    <x:row r="5">
      <x:c r="A5" s="74" t="n">
        <x:v>2</x:v>
      </x:c>
      <x:c r="B5" s="74" t="str">
        <x:v>1-2</x:v>
      </x:c>
      <x:c r="C5" s="74" t="str">
        <x:v>Área do prédio</x:v>
      </x:c>
      <x:c r="D5" s="74" t="str">
        <x:v>No topo da caixa-d'água, visível ao olhar para cima.</x:v>
      </x:c>
      <x:c r="E5" s="74" t="str">
        <x:v>Chapter Select</x:v>
      </x:c>
    </x:row>
    <x:row r="6">
      <x:c r="A6" s="78" t="n">
        <x:v>3</x:v>
      </x:c>
      <x:c r="B6" s="78" t="str">
        <x:v>1-2</x:v>
      </x:c>
      <x:c r="C6" s="78" t="str">
        <x:v>Antes do elevador</x:v>
      </x:c>
      <x:c r="D6" s="78" t="str">
        <x:v>Através da grade/parede, no prédio adiante.</x:v>
      </x:c>
      <x:c r="E6" s="78" t="str">
        <x:v>Chapter Select</x:v>
      </x:c>
    </x:row>
    <x:row r="7">
      <x:c r="A7" s="74" t="n">
        <x:v>4</x:v>
      </x:c>
      <x:c r="B7" s="74" t="str">
        <x:v>2-1</x:v>
      </x:c>
      <x:c r="C7" s="74" t="str">
        <x:v>Depósito inicial</x:v>
      </x:c>
      <x:c r="D7" s="74" t="str">
        <x:v>Na parede do depósito, antes de sair.</x:v>
      </x:c>
      <x:c r="E7" s="74" t="str">
        <x:v>Chapter Select</x:v>
      </x:c>
    </x:row>
    <x:row r="8">
      <x:c r="A8" s="78" t="n">
        <x:v>5</x:v>
      </x:c>
      <x:c r="B8" s="78" t="str">
        <x:v>2-1</x:v>
      </x:c>
      <x:c r="C8" s="78" t="str">
        <x:v>Ponte</x:v>
      </x:c>
      <x:c r="D8" s="78" t="str">
        <x:v>Sob o suporte da ponte, mire para baixo/lateral.</x:v>
      </x:c>
      <x:c r="E8" s="78" t="str">
        <x:v>Chapter Select</x:v>
      </x:c>
    </x:row>
    <x:row r="9">
      <x:c r="A9" s="74" t="n">
        <x:v>6</x:v>
      </x:c>
      <x:c r="B9" s="74" t="str">
        <x:v>2-1</x:v>
      </x:c>
      <x:c r="C9" s="74" t="str">
        <x:v>Área da chave</x:v>
      </x:c>
      <x:c r="D9" s="74" t="str">
        <x:v>Na abertura/crevice próxima à rota da chave.</x:v>
      </x:c>
      <x:c r="E9" s="74" t="str">
        <x:v>Chapter Select</x:v>
      </x:c>
    </x:row>
    <x:row r="10">
      <x:c r="A10" s="78" t="n">
        <x:v>7</x:v>
      </x:c>
      <x:c r="B10" s="78" t="str">
        <x:v>2-1</x:v>
      </x:c>
      <x:c r="C10" s="78" t="str">
        <x:v>Após o barco</x:v>
      </x:c>
      <x:c r="D10" s="78" t="str">
        <x:v>Na sacada do prédio, visível da rua.</x:v>
      </x:c>
      <x:c r="E10" s="78" t="str">
        <x:v>Chapter Select</x:v>
      </x:c>
    </x:row>
    <x:row r="11">
      <x:c r="A11" s="74" t="n">
        <x:v>8</x:v>
      </x:c>
      <x:c r="B11" s="74" t="str">
        <x:v>2-1</x:v>
      </x:c>
      <x:c r="C11" s="74" t="str">
        <x:v>Assist jump</x:v>
      </x:c>
      <x:c r="D11" s="74" t="str">
        <x:v>No telhado acima da área em que Sheva é lançada.</x:v>
      </x:c>
      <x:c r="E11" s="74" t="str">
        <x:v>Chapter Select</x:v>
      </x:c>
    </x:row>
    <x:row r="12">
      <x:c r="A12" s="78" t="n">
        <x:v>9</x:v>
      </x:c>
      <x:c r="B12" s="78" t="str">
        <x:v>2-2</x:v>
      </x:c>
      <x:c r="C12" s="78" t="str">
        <x:v>Início</x:v>
      </x:c>
      <x:c r="D12" s="78" t="str">
        <x:v>Na torre distante; use rifle.</x:v>
      </x:c>
      <x:c r="E12" s="78" t="str">
        <x:v>Chapter Select</x:v>
      </x:c>
    </x:row>
    <x:row r="13">
      <x:c r="A13" s="74" t="n">
        <x:v>10</x:v>
      </x:c>
      <x:c r="B13" s="74" t="str">
        <x:v>2-2</x:v>
      </x:c>
      <x:c r="C13" s="74" t="str">
        <x:v>Mina</x:v>
      </x:c>
      <x:c r="D13" s="74" t="str">
        <x:v>Na cachoeira/parede ao fundo da caverna.</x:v>
      </x:c>
      <x:c r="E13" s="74" t="str">
        <x:v>Chapter Select</x:v>
      </x:c>
    </x:row>
    <x:row r="14">
      <x:c r="A14" s="78" t="n">
        <x:v>11</x:v>
      </x:c>
      <x:c r="B14" s="78" t="str">
        <x:v>2-2</x:v>
      </x:c>
      <x:c r="C14" s="78" t="str">
        <x:v>Exterior</x:v>
      </x:c>
      <x:c r="D14" s="78" t="str">
        <x:v>Nos telhados após a escada alta.</x:v>
      </x:c>
      <x:c r="E14" s="78" t="str">
        <x:v>Chapter Select</x:v>
      </x:c>
    </x:row>
    <x:row r="15">
      <x:c r="A15" s="74" t="n">
        <x:v>12</x:v>
      </x:c>
      <x:c r="B15" s="74" t="str">
        <x:v>3-1</x:v>
      </x:c>
      <x:c r="C15" s="74" t="str">
        <x:v>Pântano inicial</x:v>
      </x:c>
      <x:c r="D15" s="74" t="str">
        <x:v>No poste distante sobre a água, visto do início.</x:v>
      </x:c>
      <x:c r="E15" s="74" t="str">
        <x:v>Chapter Select</x:v>
      </x:c>
    </x:row>
    <x:row r="16">
      <x:c r="A16" s="78" t="n">
        <x:v>13</x:v>
      </x:c>
      <x:c r="B16" s="78" t="str">
        <x:v>3-1</x:v>
      </x:c>
      <x:c r="C16" s="78" t="str">
        <x:v>Ilha central</x:v>
      </x:c>
      <x:c r="D16" s="78" t="str">
        <x:v>Dentro/na estrutura da cabana da ilha central.</x:v>
      </x:c>
      <x:c r="E16" s="78" t="str">
        <x:v>Chapter Select</x:v>
      </x:c>
    </x:row>
    <x:row r="17">
      <x:c r="A17" s="74" t="n">
        <x:v>14</x:v>
      </x:c>
      <x:c r="B17" s="74" t="str">
        <x:v>3-1</x:v>
      </x:c>
      <x:c r="C17" s="74" t="str">
        <x:v>Vila noroeste</x:v>
      </x:c>
      <x:c r="D17" s="74" t="str">
        <x:v>Nas vigas/forro de uma cabana.</x:v>
      </x:c>
      <x:c r="E17" s="74" t="str">
        <x:v>Chapter Select</x:v>
      </x:c>
    </x:row>
    <x:row r="18">
      <x:c r="A18" s="78" t="n">
        <x:v>15</x:v>
      </x:c>
      <x:c r="B18" s="78" t="str">
        <x:v>3-1</x:v>
      </x:c>
      <x:c r="C18" s="78" t="str">
        <x:v>Após portão das placas</x:v>
      </x:c>
      <x:c r="D18" s="78" t="str">
        <x:v>Sob o ponto de passagem/checkpoint.</x:v>
      </x:c>
      <x:c r="E18" s="78" t="str">
        <x:v>Chapter Select</x:v>
      </x:c>
    </x:row>
    <x:row r="19">
      <x:c r="A19" s="74" t="n">
        <x:v>16</x:v>
      </x:c>
      <x:c r="B19" s="74" t="str">
        <x:v>3-2</x:v>
      </x:c>
      <x:c r="C19" s="74" t="str">
        <x:v>Acampamento Tricell</x:v>
      </x:c>
      <x:c r="D19" s="74" t="str">
        <x:v>Entre as duas tendas.</x:v>
      </x:c>
      <x:c r="E19" s="74" t="str">
        <x:v>Chapter Select</x:v>
      </x:c>
    </x:row>
    <x:row r="20">
      <x:c r="A20" s="78" t="n">
        <x:v>17</x:v>
      </x:c>
      <x:c r="B20" s="78" t="str">
        <x:v>3-2</x:v>
      </x:c>
      <x:c r="C20" s="78" t="str">
        <x:v>Refinaria</x:v>
      </x:c>
      <x:c r="D20" s="78" t="str">
        <x:v>Na sala de controle antes da fuga de barco.</x:v>
      </x:c>
      <x:c r="E20" s="78" t="str">
        <x:v>Chapter Select</x:v>
      </x:c>
    </x:row>
    <x:row r="21">
      <x:c r="A21" s="74" t="n">
        <x:v>18</x:v>
      </x:c>
      <x:c r="B21" s="74" t="str">
        <x:v>3-3</x:v>
      </x:c>
      <x:c r="C21" s="74" t="str">
        <x:v>Barco</x:v>
      </x:c>
      <x:c r="D21" s="74" t="str">
        <x:v>No teto antes do primeiro portão.</x:v>
      </x:c>
      <x:c r="E21" s="74" t="str">
        <x:v>Chapter Select</x:v>
      </x:c>
    </x:row>
    <x:row r="22">
      <x:c r="A22" s="78" t="n">
        <x:v>19</x:v>
      </x:c>
      <x:c r="B22" s="78" t="str">
        <x:v>4-1</x:v>
      </x:c>
      <x:c r="C22" s="78" t="str">
        <x:v>Caverna</x:v>
      </x:c>
      <x:c r="D22" s="78" t="str">
        <x:v>Após a primeira escada, olhe para a estrutura alta.</x:v>
      </x:c>
      <x:c r="E22" s="78" t="str">
        <x:v>Chapter Select</x:v>
      </x:c>
    </x:row>
    <x:row r="23">
      <x:c r="A23" s="74" t="n">
        <x:v>20</x:v>
      </x:c>
      <x:c r="B23" s="74" t="str">
        <x:v>4-1</x:v>
      </x:c>
      <x:c r="C23" s="74" t="str">
        <x:v>Salão gigante</x:v>
      </x:c>
      <x:c r="D23" s="74" t="str">
        <x:v>À distância na arquitetura central; rifle recomendado.</x:v>
      </x:c>
      <x:c r="E23" s="74" t="str">
        <x:v>Chapter Select</x:v>
      </x:c>
    </x:row>
    <x:row r="24">
      <x:c r="A24" s="78" t="n">
        <x:v>21</x:v>
      </x:c>
      <x:c r="B24" s="78" t="str">
        <x:v>4-1</x:v>
      </x:c>
      <x:c r="C24" s="78" t="str">
        <x:v>Puzzle das estátuas</x:v>
      </x:c>
      <x:c r="D24" s="78" t="str">
        <x:v>Acima da estátua verde/escadaria.</x:v>
      </x:c>
      <x:c r="E24" s="78" t="str">
        <x:v>Chapter Select</x:v>
      </x:c>
    </x:row>
    <x:row r="25">
      <x:c r="A25" s="74" t="n">
        <x:v>22</x:v>
      </x:c>
      <x:c r="B25" s="74" t="str">
        <x:v>4-2</x:v>
      </x:c>
      <x:c r="C25" s="74" t="str">
        <x:v>Puzzle de lasers final</x:v>
      </x:c>
      <x:c r="D25" s="74" t="str">
        <x:v>Acima da porta da sala norte no último piso.</x:v>
      </x:c>
      <x:c r="E25" s="74" t="str">
        <x:v>Chapter Select</x:v>
      </x:c>
    </x:row>
    <x:row r="26">
      <x:c r="A26" s="78" t="n">
        <x:v>23</x:v>
      </x:c>
      <x:c r="B26" s="78" t="str">
        <x:v>5-1</x:v>
      </x:c>
      <x:c r="C26" s="78" t="str">
        <x:v>Caverna das flores</x:v>
      </x:c>
      <x:c r="D26" s="78" t="str">
        <x:v>Sob a passarela logo no início.</x:v>
      </x:c>
      <x:c r="E26" s="78" t="str">
        <x:v>Chapter Select</x:v>
      </x:c>
    </x:row>
    <x:row r="27">
      <x:c r="A27" s="74" t="n">
        <x:v>24</x:v>
      </x:c>
      <x:c r="B27" s="74" t="str">
        <x:v>5-2</x:v>
      </x:c>
      <x:c r="C27" s="74" t="str">
        <x:v>Esteira</x:v>
      </x:c>
      <x:c r="D27" s="74" t="str">
        <x:v>No contêiner/lixeira após a esteira com cilindros explosivos.</x:v>
      </x:c>
      <x:c r="E27" s="74" t="str">
        <x:v>Chapter Select</x:v>
      </x:c>
    </x:row>
    <x:row r="28">
      <x:c r="A28" s="78" t="n">
        <x:v>25</x:v>
      </x:c>
      <x:c r="B28" s="78" t="str">
        <x:v>5-3</x:v>
      </x:c>
      <x:c r="C28" s="78" t="str">
        <x:v>Após o chefe</x:v>
      </x:c>
      <x:c r="D28" s="78" t="str">
        <x:v>Atrás da ventoinha.</x:v>
      </x:c>
      <x:c r="E28" s="78" t="str">
        <x:v>Chapter Select</x:v>
      </x:c>
    </x:row>
    <x:row r="29">
      <x:c r="A29" s="74" t="n">
        <x:v>26</x:v>
      </x:c>
      <x:c r="B29" s="74" t="str">
        <x:v>5-3</x:v>
      </x:c>
      <x:c r="C29" s="74" t="str">
        <x:v>Plataforma giratória</x:v>
      </x:c>
      <x:c r="D29" s="74" t="str">
        <x:v>Perto do operador/interruptor na plataforma.</x:v>
      </x:c>
      <x:c r="E29" s="74" t="str">
        <x:v>Chapter Select</x:v>
      </x:c>
    </x:row>
    <x:row r="30">
      <x:c r="A30" s="78" t="n">
        <x:v>27</x:v>
      </x:c>
      <x:c r="B30" s="78" t="str">
        <x:v>5-3</x:v>
      </x:c>
      <x:c r="C30" s="78" t="str">
        <x:v>Elevador</x:v>
      </x:c>
      <x:c r="D30" s="78" t="str">
        <x:v>No poço, atrás/abaixo do elevador.</x:v>
      </x:c>
      <x:c r="E30" s="78" t="str">
        <x:v>Chapter Select</x:v>
      </x:c>
    </x:row>
    <x:row r="31">
      <x:c r="A31" s="74" t="n">
        <x:v>28</x:v>
      </x:c>
      <x:c r="B31" s="74" t="str">
        <x:v>6-1</x:v>
      </x:c>
      <x:c r="C31" s="74" t="str">
        <x:v>Convés inicial</x:v>
      </x:c>
      <x:c r="D31" s="74" t="str">
        <x:v>Na torre distante do navio; rifle recomendado.</x:v>
      </x:c>
      <x:c r="E31" s="74" t="str">
        <x:v>Chapter Select</x:v>
      </x:c>
    </x:row>
    <x:row r="32">
      <x:c r="A32" s="78" t="n">
        <x:v>29</x:v>
      </x:c>
      <x:c r="B32" s="78" t="str">
        <x:v>6-1</x:v>
      </x:c>
      <x:c r="C32" s="78" t="str">
        <x:v>Contêiner/prisão do parceiro</x:v>
      </x:c>
      <x:c r="D32" s="78" t="str">
        <x:v>Lance granada no contêiner aberto ao norte para atingir o emblema oculto.</x:v>
      </x:c>
      <x:c r="E32" s="78" t="str">
        <x:v>Chapter Select</x:v>
      </x:c>
    </x:row>
    <x:row r="33">
      <x:c r="A33" s="74" t="n">
        <x:v>30</x:v>
      </x:c>
      <x:c r="B33" s="74" t="str">
        <x:v>6-1</x:v>
      </x:c>
      <x:c r="C33" s="74" t="str">
        <x:v>Após cena de Excella</x:v>
      </x:c>
      <x:c r="D33" s="74" t="str">
        <x:v>No armário/prateleira de vidro.</x:v>
      </x:c>
      <x:c r="E33" s="74" t="str">
        <x:v>Chapter Select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06f8fc92bfa42d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78" hidden="0" customWidth="1"/>
    <x:col min="4" max="4" width="22" hidden="0" customWidth="1"/>
  </x:cols>
  <x:sheetData>
    <x:row r="1" ht="30" customHeight="1">
      <x:c r="A1" s="5" t="str">
        <x:v>Checklist — 50 tipos de tesouro</x:v>
      </x:c>
    </x:row>
    <x:row r="2" ht="20" customHeight="1">
      <x:c r="A2" s="11" t="str">
        <x:v>AtlasAchievement • Portão A • verificação: 26/07/2026</x:v>
      </x:c>
      <x:c r="B2" t="str"/>
      <x:c r="C2" t="str"/>
      <x:c r="D2" t="str"/>
    </x:row>
    <x:row r="3" ht="30" customHeight="1">
      <x:c r="A3" s="66" t="str">
        <x:v>#</x:v>
      </x:c>
      <x:c r="B3" s="66" t="str">
        <x:v>Tesouro</x:v>
      </x:c>
      <x:c r="C3" s="66" t="str">
        <x:v>Observação operacional</x:v>
      </x:c>
      <x:c r="D3" s="66" t="str">
        <x:v>Recuperação</x:v>
      </x:c>
    </x:row>
    <x:row r="4">
      <x:c r="A4" s="78" t="n">
        <x:v>1</x:v>
      </x:c>
      <x:c r="B4" s="78" t="str">
        <x:v>Gold Ring</x:v>
      </x:c>
      <x:c r="C4" s="78" t="str">
        <x:v>Registra cumulativamente; pode ser vendido após a primeira obtenção.</x:v>
      </x:c>
      <x:c r="D4" s="78" t="str">
        <x:v>Chapter Select</x:v>
      </x:c>
    </x:row>
    <x:row r="5">
      <x:c r="A5" s="74" t="n">
        <x:v>2</x:v>
      </x:c>
      <x:c r="B5" s="74" t="str">
        <x:v>Ivory Relief</x:v>
      </x:c>
      <x:c r="C5" s="74" t="str">
        <x:v>Registra cumulativamente; pode ser vendido após a primeira obtenção.</x:v>
      </x:c>
      <x:c r="D5" s="74" t="str">
        <x:v>Chapter Select</x:v>
      </x:c>
    </x:row>
    <x:row r="6">
      <x:c r="A6" s="78" t="n">
        <x:v>3</x:v>
      </x:c>
      <x:c r="B6" s="78" t="str">
        <x:v>Dead Bride's Necklace</x:v>
      </x:c>
      <x:c r="C6" s="78" t="str">
        <x:v>Registra cumulativamente; pode ser vendido após a primeira obtenção.</x:v>
      </x:c>
      <x:c r="D6" s="78" t="str">
        <x:v>Chapter Select</x:v>
      </x:c>
    </x:row>
    <x:row r="7">
      <x:c r="A7" s="74" t="n">
        <x:v>4</x:v>
      </x:c>
      <x:c r="B7" s="74" t="str">
        <x:v>Royal Necklace</x:v>
      </x:c>
      <x:c r="C7" s="74" t="str">
        <x:v>Registra cumulativamente; pode ser vendido após a primeira obtenção.</x:v>
      </x:c>
      <x:c r="D7" s="74" t="str">
        <x:v>Chapter Select</x:v>
      </x:c>
    </x:row>
    <x:row r="8">
      <x:c r="A8" s="78" t="n">
        <x:v>5</x:v>
      </x:c>
      <x:c r="B8" s="78" t="str">
        <x:v>Jewel Bangle</x:v>
      </x:c>
      <x:c r="C8" s="78" t="str">
        <x:v>Registra cumulativamente; pode ser vendido após a primeira obtenção.</x:v>
      </x:c>
      <x:c r="D8" s="78" t="str">
        <x:v>Chapter Select</x:v>
      </x:c>
    </x:row>
    <x:row r="9">
      <x:c r="A9" s="74" t="n">
        <x:v>6</x:v>
      </x:c>
      <x:c r="B9" s="74" t="str">
        <x:v>Venom Fang</x:v>
      </x:c>
      <x:c r="C9" s="74" t="str">
        <x:v>Registra cumulativamente; pode ser vendido após a primeira obtenção.</x:v>
      </x:c>
      <x:c r="D9" s="74" t="str">
        <x:v>Chapter Select</x:v>
      </x:c>
    </x:row>
    <x:row r="10">
      <x:c r="A10" s="78" t="n">
        <x:v>7</x:v>
      </x:c>
      <x:c r="B10" s="78" t="str">
        <x:v>Antique Clock</x:v>
      </x:c>
      <x:c r="C10" s="78" t="str">
        <x:v>Registra cumulativamente; pode ser vendido após a primeira obtenção.</x:v>
      </x:c>
      <x:c r="D10" s="78" t="str">
        <x:v>Chapter Select</x:v>
      </x:c>
    </x:row>
    <x:row r="11">
      <x:c r="A11" s="74" t="n">
        <x:v>8</x:v>
      </x:c>
      <x:c r="B11" s="74" t="str">
        <x:v>Chalice (Silver)</x:v>
      </x:c>
      <x:c r="C11" s="74" t="str">
        <x:v>Registra cumulativamente; pode ser vendido após a primeira obtenção.</x:v>
      </x:c>
      <x:c r="D11" s="74" t="str">
        <x:v>Chapter Select</x:v>
      </x:c>
    </x:row>
    <x:row r="12">
      <x:c r="A12" s="78" t="n">
        <x:v>9</x:v>
      </x:c>
      <x:c r="B12" s="78" t="str">
        <x:v>Chalice (Gold)</x:v>
      </x:c>
      <x:c r="C12" s="78" t="str">
        <x:v>Registra cumulativamente; pode ser vendido após a primeira obtenção.</x:v>
      </x:c>
      <x:c r="D12" s="78" t="str">
        <x:v>Chapter Select</x:v>
      </x:c>
    </x:row>
    <x:row r="13">
      <x:c r="A13" s="74" t="n">
        <x:v>10</x:v>
      </x:c>
      <x:c r="B13" s="74" t="str">
        <x:v>Idol (Silver)</x:v>
      </x:c>
      <x:c r="C13" s="74" t="str">
        <x:v>Registra cumulativamente; pode ser vendido após a primeira obtenção.</x:v>
      </x:c>
      <x:c r="D13" s="74" t="str">
        <x:v>Chapter Select</x:v>
      </x:c>
    </x:row>
    <x:row r="14">
      <x:c r="A14" s="78" t="n">
        <x:v>11</x:v>
      </x:c>
      <x:c r="B14" s="78" t="str">
        <x:v>Idol (Gold)</x:v>
      </x:c>
      <x:c r="C14" s="78" t="str">
        <x:v>Registra cumulativamente; pode ser vendido após a primeira obtenção.</x:v>
      </x:c>
      <x:c r="D14" s="78" t="str">
        <x:v>Chapter Select</x:v>
      </x:c>
    </x:row>
    <x:row r="15">
      <x:c r="A15" s="74" t="n">
        <x:v>12</x:v>
      </x:c>
      <x:c r="B15" s="74" t="str">
        <x:v>Ceremonial Mask</x:v>
      </x:c>
      <x:c r="C15" s="74" t="str">
        <x:v>Registra cumulativamente; pode ser vendido após a primeira obtenção.</x:v>
      </x:c>
      <x:c r="D15" s="74" t="str">
        <x:v>Chapter Select</x:v>
      </x:c>
    </x:row>
    <x:row r="16">
      <x:c r="A16" s="78" t="n">
        <x:v>13</x:v>
      </x:c>
      <x:c r="B16" s="78" t="str">
        <x:v>Jewel Beetle</x:v>
      </x:c>
      <x:c r="C16" s="78" t="str">
        <x:v>Registra cumulativamente; pode ser vendido após a primeira obtenção.</x:v>
      </x:c>
      <x:c r="D16" s="78" t="str">
        <x:v>Chapter Select</x:v>
      </x:c>
    </x:row>
    <x:row r="17">
      <x:c r="A17" s="74" t="n">
        <x:v>14</x:v>
      </x:c>
      <x:c r="B17" s="74" t="str">
        <x:v>Beetle (Brown)</x:v>
      </x:c>
      <x:c r="C17" s="74" t="str">
        <x:v>Registra cumulativamente; pode ser vendido após a primeira obtenção.</x:v>
      </x:c>
      <x:c r="D17" s="74" t="str">
        <x:v>Chapter Select</x:v>
      </x:c>
    </x:row>
    <x:row r="18">
      <x:c r="A18" s="78" t="n">
        <x:v>15</x:v>
      </x:c>
      <x:c r="B18" s="78" t="str">
        <x:v>Beetle (Gold)</x:v>
      </x:c>
      <x:c r="C18" s="78" t="str">
        <x:v>Registra cumulativamente; pode ser vendido após a primeira obtenção.</x:v>
      </x:c>
      <x:c r="D18" s="78" t="str">
        <x:v>Chapter Select</x:v>
      </x:c>
    </x:row>
    <x:row r="19">
      <x:c r="A19" s="74" t="n">
        <x:v>16</x:v>
      </x:c>
      <x:c r="B19" s="74" t="str">
        <x:v>Topaz (Pear)</x:v>
      </x:c>
      <x:c r="C19" s="74" t="str">
        <x:v>Registra cumulativamente; pode ser vendido após a primeira obtenção.</x:v>
      </x:c>
      <x:c r="D19" s="74" t="str">
        <x:v>Chapter Select</x:v>
      </x:c>
    </x:row>
    <x:row r="20">
      <x:c r="A20" s="78" t="n">
        <x:v>17</x:v>
      </x:c>
      <x:c r="B20" s="78" t="str">
        <x:v>Ruby (Pear)</x:v>
      </x:c>
      <x:c r="C20" s="78" t="str">
        <x:v>Registra cumulativamente; pode ser vendido após a primeira obtenção.</x:v>
      </x:c>
      <x:c r="D20" s="78" t="str">
        <x:v>Chapter Select</x:v>
      </x:c>
    </x:row>
    <x:row r="21">
      <x:c r="A21" s="74" t="n">
        <x:v>18</x:v>
      </x:c>
      <x:c r="B21" s="74" t="str">
        <x:v>Sapphire (Pear)</x:v>
      </x:c>
      <x:c r="C21" s="74" t="str">
        <x:v>Registra cumulativamente; pode ser vendido após a primeira obtenção.</x:v>
      </x:c>
      <x:c r="D21" s="74" t="str">
        <x:v>Chapter Select</x:v>
      </x:c>
    </x:row>
    <x:row r="22">
      <x:c r="A22" s="78" t="n">
        <x:v>19</x:v>
      </x:c>
      <x:c r="B22" s="78" t="str">
        <x:v>Emerald (Pear)</x:v>
      </x:c>
      <x:c r="C22" s="78" t="str">
        <x:v>Registra cumulativamente; pode ser vendido após a primeira obtenção.</x:v>
      </x:c>
      <x:c r="D22" s="78" t="str">
        <x:v>Chapter Select</x:v>
      </x:c>
    </x:row>
    <x:row r="23">
      <x:c r="A23" s="74" t="n">
        <x:v>20</x:v>
      </x:c>
      <x:c r="B23" s="74" t="str">
        <x:v>Diamond (Pear)</x:v>
      </x:c>
      <x:c r="C23" s="74" t="str">
        <x:v>Registra cumulativamente; pode ser vendido após a primeira obtenção.</x:v>
      </x:c>
      <x:c r="D23" s="74" t="str">
        <x:v>Chapter Select</x:v>
      </x:c>
    </x:row>
    <x:row r="24">
      <x:c r="A24" s="78" t="n">
        <x:v>21</x:v>
      </x:c>
      <x:c r="B24" s="78" t="str">
        <x:v>Topaz (Square)</x:v>
      </x:c>
      <x:c r="C24" s="78" t="str">
        <x:v>Registra cumulativamente; pode ser vendido após a primeira obtenção.</x:v>
      </x:c>
      <x:c r="D24" s="78" t="str">
        <x:v>Chapter Select</x:v>
      </x:c>
    </x:row>
    <x:row r="25">
      <x:c r="A25" s="74" t="n">
        <x:v>22</x:v>
      </x:c>
      <x:c r="B25" s="74" t="str">
        <x:v>Ruby (Square)</x:v>
      </x:c>
      <x:c r="C25" s="74" t="str">
        <x:v>Registra cumulativamente; pode ser vendido após a primeira obtenção.</x:v>
      </x:c>
      <x:c r="D25" s="74" t="str">
        <x:v>Chapter Select</x:v>
      </x:c>
    </x:row>
    <x:row r="26">
      <x:c r="A26" s="78" t="n">
        <x:v>23</x:v>
      </x:c>
      <x:c r="B26" s="78" t="str">
        <x:v>Sapphire (Square)</x:v>
      </x:c>
      <x:c r="C26" s="78" t="str">
        <x:v>Registra cumulativamente; pode ser vendido após a primeira obtenção.</x:v>
      </x:c>
      <x:c r="D26" s="78" t="str">
        <x:v>Chapter Select</x:v>
      </x:c>
    </x:row>
    <x:row r="27">
      <x:c r="A27" s="74" t="n">
        <x:v>24</x:v>
      </x:c>
      <x:c r="B27" s="74" t="str">
        <x:v>Emerald (Square)</x:v>
      </x:c>
      <x:c r="C27" s="74" t="str">
        <x:v>Registra cumulativamente; pode ser vendido após a primeira obtenção.</x:v>
      </x:c>
      <x:c r="D27" s="74" t="str">
        <x:v>Chapter Select</x:v>
      </x:c>
    </x:row>
    <x:row r="28">
      <x:c r="A28" s="78" t="n">
        <x:v>25</x:v>
      </x:c>
      <x:c r="B28" s="78" t="str">
        <x:v>Diamond (Square)</x:v>
      </x:c>
      <x:c r="C28" s="78" t="str">
        <x:v>Registra cumulativamente; pode ser vendido após a primeira obtenção.</x:v>
      </x:c>
      <x:c r="D28" s="78" t="str">
        <x:v>Chapter Select</x:v>
      </x:c>
    </x:row>
    <x:row r="29">
      <x:c r="A29" s="74" t="n">
        <x:v>26</x:v>
      </x:c>
      <x:c r="B29" s="74" t="str">
        <x:v>Topaz (Oval)</x:v>
      </x:c>
      <x:c r="C29" s="74" t="str">
        <x:v>Registra cumulativamente; pode ser vendido após a primeira obtenção.</x:v>
      </x:c>
      <x:c r="D29" s="74" t="str">
        <x:v>Chapter Select</x:v>
      </x:c>
    </x:row>
    <x:row r="30">
      <x:c r="A30" s="78" t="n">
        <x:v>27</x:v>
      </x:c>
      <x:c r="B30" s="78" t="str">
        <x:v>Ruby (Oval)</x:v>
      </x:c>
      <x:c r="C30" s="78" t="str">
        <x:v>Registra cumulativamente; pode ser vendido após a primeira obtenção.</x:v>
      </x:c>
      <x:c r="D30" s="78" t="str">
        <x:v>Chapter Select</x:v>
      </x:c>
    </x:row>
    <x:row r="31">
      <x:c r="A31" s="74" t="n">
        <x:v>28</x:v>
      </x:c>
      <x:c r="B31" s="74" t="str">
        <x:v>Sapphire (Oval)</x:v>
      </x:c>
      <x:c r="C31" s="74" t="str">
        <x:v>Registra cumulativamente; pode ser vendido após a primeira obtenção.</x:v>
      </x:c>
      <x:c r="D31" s="74" t="str">
        <x:v>Chapter Select</x:v>
      </x:c>
    </x:row>
    <x:row r="32">
      <x:c r="A32" s="78" t="n">
        <x:v>29</x:v>
      </x:c>
      <x:c r="B32" s="78" t="str">
        <x:v>Emerald (Oval)</x:v>
      </x:c>
      <x:c r="C32" s="78" t="str">
        <x:v>Registra cumulativamente; pode ser vendido após a primeira obtenção.</x:v>
      </x:c>
      <x:c r="D32" s="78" t="str">
        <x:v>Chapter Select</x:v>
      </x:c>
    </x:row>
    <x:row r="33">
      <x:c r="A33" s="74" t="n">
        <x:v>30</x:v>
      </x:c>
      <x:c r="B33" s="74" t="str">
        <x:v>Diamond (Oval)</x:v>
      </x:c>
      <x:c r="C33" s="74" t="str">
        <x:v>Registra cumulativamente; pode ser vendido após a primeira obtenção.</x:v>
      </x:c>
      <x:c r="D33" s="74" t="str">
        <x:v>Chapter Select</x:v>
      </x:c>
    </x:row>
    <x:row r="34">
      <x:c r="A34" s="78" t="n">
        <x:v>31</x:v>
      </x:c>
      <x:c r="B34" s="78" t="str">
        <x:v>Topaz (Trilliant)</x:v>
      </x:c>
      <x:c r="C34" s="78" t="str">
        <x:v>Registra cumulativamente; pode ser vendido após a primeira obtenção.</x:v>
      </x:c>
      <x:c r="D34" s="78" t="str">
        <x:v>Chapter Select</x:v>
      </x:c>
    </x:row>
    <x:row r="35">
      <x:c r="A35" s="74" t="n">
        <x:v>32</x:v>
      </x:c>
      <x:c r="B35" s="74" t="str">
        <x:v>Ruby (Trilliant)</x:v>
      </x:c>
      <x:c r="C35" s="74" t="str">
        <x:v>Registra cumulativamente; pode ser vendido após a primeira obtenção.</x:v>
      </x:c>
      <x:c r="D35" s="74" t="str">
        <x:v>Chapter Select</x:v>
      </x:c>
    </x:row>
    <x:row r="36">
      <x:c r="A36" s="78" t="n">
        <x:v>33</x:v>
      </x:c>
      <x:c r="B36" s="78" t="str">
        <x:v>Sapphire (Trilliant)</x:v>
      </x:c>
      <x:c r="C36" s="78" t="str">
        <x:v>Registra cumulativamente; pode ser vendido após a primeira obtenção.</x:v>
      </x:c>
      <x:c r="D36" s="78" t="str">
        <x:v>Chapter Select</x:v>
      </x:c>
    </x:row>
    <x:row r="37">
      <x:c r="A37" s="74" t="n">
        <x:v>34</x:v>
      </x:c>
      <x:c r="B37" s="74" t="str">
        <x:v>Emerald (Trilliant)</x:v>
      </x:c>
      <x:c r="C37" s="74" t="str">
        <x:v>Registra cumulativamente; pode ser vendido após a primeira obtenção.</x:v>
      </x:c>
      <x:c r="D37" s="74" t="str">
        <x:v>Chapter Select</x:v>
      </x:c>
    </x:row>
    <x:row r="38">
      <x:c r="A38" s="78" t="n">
        <x:v>35</x:v>
      </x:c>
      <x:c r="B38" s="78" t="str">
        <x:v>Diamond (Trilliant)</x:v>
      </x:c>
      <x:c r="C38" s="78" t="str">
        <x:v>Registra cumulativamente; pode ser vendido após a primeira obtenção.</x:v>
      </x:c>
      <x:c r="D38" s="78" t="str">
        <x:v>Chapter Select</x:v>
      </x:c>
    </x:row>
    <x:row r="39">
      <x:c r="A39" s="74" t="n">
        <x:v>36</x:v>
      </x:c>
      <x:c r="B39" s="74" t="str">
        <x:v>Topaz (Brilliant)</x:v>
      </x:c>
      <x:c r="C39" s="74" t="str">
        <x:v>Registra cumulativamente; pode ser vendido após a primeira obtenção.</x:v>
      </x:c>
      <x:c r="D39" s="74" t="str">
        <x:v>Chapter Select</x:v>
      </x:c>
    </x:row>
    <x:row r="40">
      <x:c r="A40" s="78" t="n">
        <x:v>37</x:v>
      </x:c>
      <x:c r="B40" s="78" t="str">
        <x:v>Ruby (Brilliant)</x:v>
      </x:c>
      <x:c r="C40" s="78" t="str">
        <x:v>Registra cumulativamente; pode ser vendido após a primeira obtenção.</x:v>
      </x:c>
      <x:c r="D40" s="78" t="str">
        <x:v>Chapter Select</x:v>
      </x:c>
    </x:row>
    <x:row r="41">
      <x:c r="A41" s="74" t="n">
        <x:v>38</x:v>
      </x:c>
      <x:c r="B41" s="74" t="str">
        <x:v>Sapphire (Brilliant)</x:v>
      </x:c>
      <x:c r="C41" s="74" t="str">
        <x:v>Registra cumulativamente; pode ser vendido após a primeira obtenção.</x:v>
      </x:c>
      <x:c r="D41" s="74" t="str">
        <x:v>Chapter Select</x:v>
      </x:c>
    </x:row>
    <x:row r="42">
      <x:c r="A42" s="78" t="n">
        <x:v>39</x:v>
      </x:c>
      <x:c r="B42" s="78" t="str">
        <x:v>Emerald (Brilliant)</x:v>
      </x:c>
      <x:c r="C42" s="78" t="str">
        <x:v>Registra cumulativamente; pode ser vendido após a primeira obtenção.</x:v>
      </x:c>
      <x:c r="D42" s="78" t="str">
        <x:v>Chapter Select</x:v>
      </x:c>
    </x:row>
    <x:row r="43">
      <x:c r="A43" s="74" t="n">
        <x:v>40</x:v>
      </x:c>
      <x:c r="B43" s="74" t="str">
        <x:v>Diamond (Brilliant)</x:v>
      </x:c>
      <x:c r="C43" s="74" t="str">
        <x:v>Registra cumulativamente; pode ser vendido após a primeira obtenção.</x:v>
      </x:c>
      <x:c r="D43" s="74" t="str">
        <x:v>Chapter Select</x:v>
      </x:c>
    </x:row>
    <x:row r="44">
      <x:c r="A44" s="78" t="n">
        <x:v>41</x:v>
      </x:c>
      <x:c r="B44" s="78" t="str">
        <x:v>Topaz (Marquise)</x:v>
      </x:c>
      <x:c r="C44" s="78" t="str">
        <x:v>Registra cumulativamente; pode ser vendido após a primeira obtenção.</x:v>
      </x:c>
      <x:c r="D44" s="78" t="str">
        <x:v>Chapter Select</x:v>
      </x:c>
    </x:row>
    <x:row r="45">
      <x:c r="A45" s="74" t="n">
        <x:v>42</x:v>
      </x:c>
      <x:c r="B45" s="74" t="str">
        <x:v>Ruby (Marquise)</x:v>
      </x:c>
      <x:c r="C45" s="74" t="str">
        <x:v>Registra cumulativamente; pode ser vendido após a primeira obtenção.</x:v>
      </x:c>
      <x:c r="D45" s="74" t="str">
        <x:v>Chapter Select</x:v>
      </x:c>
    </x:row>
    <x:row r="46">
      <x:c r="A46" s="78" t="n">
        <x:v>43</x:v>
      </x:c>
      <x:c r="B46" s="78" t="str">
        <x:v>Sapphire (Marquise)</x:v>
      </x:c>
      <x:c r="C46" s="78" t="str">
        <x:v>Registra cumulativamente; pode ser vendido após a primeira obtenção.</x:v>
      </x:c>
      <x:c r="D46" s="78" t="str">
        <x:v>Chapter Select</x:v>
      </x:c>
    </x:row>
    <x:row r="47">
      <x:c r="A47" s="74" t="n">
        <x:v>44</x:v>
      </x:c>
      <x:c r="B47" s="74" t="str">
        <x:v>Emerald (Marquise)</x:v>
      </x:c>
      <x:c r="C47" s="74" t="str">
        <x:v>Registra cumulativamente; pode ser vendido após a primeira obtenção.</x:v>
      </x:c>
      <x:c r="D47" s="74" t="str">
        <x:v>Chapter Select</x:v>
      </x:c>
    </x:row>
    <x:row r="48">
      <x:c r="A48" s="78" t="n">
        <x:v>45</x:v>
      </x:c>
      <x:c r="B48" s="78" t="str">
        <x:v>Diamond (Marquise)</x:v>
      </x:c>
      <x:c r="C48" s="78" t="str">
        <x:v>Registra cumulativamente; pode ser vendido após a primeira obtenção.</x:v>
      </x:c>
      <x:c r="D48" s="78" t="str">
        <x:v>Chapter Select</x:v>
      </x:c>
    </x:row>
    <x:row r="49">
      <x:c r="A49" s="74" t="n">
        <x:v>46</x:v>
      </x:c>
      <x:c r="B49" s="74" t="str">
        <x:v>Power Stone</x:v>
      </x:c>
      <x:c r="C49" s="74" t="str">
        <x:v>Drop de inimigo/chefe específico; confirme no inventário de tesouros antes de vender.</x:v>
      </x:c>
      <x:c r="D49" s="74" t="str">
        <x:v>Chapter Select</x:v>
      </x:c>
    </x:row>
    <x:row r="50">
      <x:c r="A50" s="78" t="n">
        <x:v>47</x:v>
      </x:c>
      <x:c r="B50" s="78" t="str">
        <x:v>Lion Heart</x:v>
      </x:c>
      <x:c r="C50" s="78" t="str">
        <x:v>Drop de inimigo/chefe específico; confirme no inventário de tesouros antes de vender.</x:v>
      </x:c>
      <x:c r="D50" s="78" t="str">
        <x:v>Chapter Select</x:v>
      </x:c>
    </x:row>
    <x:row r="51">
      <x:c r="A51" s="74" t="n">
        <x:v>48</x:v>
      </x:c>
      <x:c r="B51" s="74" t="str">
        <x:v>Blue Enigma</x:v>
      </x:c>
      <x:c r="C51" s="74" t="str">
        <x:v>Drop de inimigo/chefe específico; confirme no inventário de tesouros antes de vender.</x:v>
      </x:c>
      <x:c r="D51" s="74" t="str">
        <x:v>Chapter Select</x:v>
      </x:c>
    </x:row>
    <x:row r="52">
      <x:c r="A52" s="78" t="n">
        <x:v>49</x:v>
      </x:c>
      <x:c r="B52" s="78" t="str">
        <x:v>Soul Gem</x:v>
      </x:c>
      <x:c r="C52" s="78" t="str">
        <x:v>Drop de inimigo/chefe específico; confirme no inventário de tesouros antes de vender.</x:v>
      </x:c>
      <x:c r="D52" s="78" t="str">
        <x:v>Chapter Select</x:v>
      </x:c>
    </x:row>
    <x:row r="53">
      <x:c r="A53" s="74" t="n">
        <x:v>50</x:v>
      </x:c>
      <x:c r="B53" s="74" t="str">
        <x:v>Heart of Africa</x:v>
      </x:c>
      <x:c r="C53" s="74" t="str">
        <x:v>5-3: faça Bad Blood (Wesker sair antes de 7 min) e recolha entre as escadas durante a fase de Jill.</x:v>
      </x:c>
      <x:c r="D53" s="74" t="str">
        <x:v>Chapter Select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1468d568091489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8" hidden="0" customWidth="1"/>
    <x:col min="4" max="4" width="52" hidden="0" customWidth="1"/>
    <x:col min="5" max="5" width="38" hidden="0" customWidth="1"/>
  </x:cols>
  <x:sheetData>
    <x:row r="1" ht="30" customHeight="1">
      <x:c r="A1" s="5" t="str">
        <x:v>Checklist — Stockpile: 27 itens simultâneos</x:v>
      </x:c>
    </x:row>
    <x:row r="2" ht="20" customHeight="1">
      <x:c r="A2" s="11" t="str">
        <x:v>AtlasAchievement • Portão A • verificação: 26/07/2026</x:v>
      </x:c>
      <x:c r="B2" t="str"/>
      <x:c r="C2" t="str"/>
      <x:c r="D2" t="str"/>
      <x:c r="E2" t="str"/>
    </x:row>
    <x:row r="3" ht="30" customHeight="1">
      <x:c r="A3" s="66" t="str">
        <x:v>#</x:v>
      </x:c>
      <x:c r="B3" s="66" t="str">
        <x:v>Categoria</x:v>
      </x:c>
      <x:c r="C3" s="66" t="str">
        <x:v>Item</x:v>
      </x:c>
      <x:c r="D3" s="66" t="str">
        <x:v>Origem/desbloqueio</x:v>
      </x:c>
      <x:c r="E3" s="66" t="str">
        <x:v>Controle</x:v>
      </x:c>
    </x:row>
    <x:row r="4">
      <x:c r="A4" s="78" t="n">
        <x:v>1</x:v>
      </x:c>
      <x:c r="B4" s="78" t="str">
        <x:v>Handgun</x:v>
      </x:c>
      <x:c r="C4" s="78" t="str">
        <x:v>M92F</x:v>
      </x:c>
      <x:c r="D4" s="78" t="str">
        <x:v>Loja/inicial</x:v>
      </x:c>
      <x:c r="E4" s="78" t="str">
        <x:v>Manter simultaneamente até o troféu</x:v>
      </x:c>
    </x:row>
    <x:row r="5">
      <x:c r="A5" s="74" t="n">
        <x:v>2</x:v>
      </x:c>
      <x:c r="B5" s="74" t="str">
        <x:v>Handgun</x:v>
      </x:c>
      <x:c r="C5" s="74" t="str">
        <x:v>H&amp;K P8</x:v>
      </x:c>
      <x:c r="D5" s="74" t="str">
        <x:v>Loja</x:v>
      </x:c>
      <x:c r="E5" s="74" t="str">
        <x:v>Manter simultaneamente até o troféu</x:v>
      </x:c>
    </x:row>
    <x:row r="6">
      <x:c r="A6" s="78" t="n">
        <x:v>3</x:v>
      </x:c>
      <x:c r="B6" s="78" t="str">
        <x:v>Handgun</x:v>
      </x:c>
      <x:c r="C6" s="78" t="str">
        <x:v>SIG P226</x:v>
      </x:c>
      <x:c r="D6" s="78" t="str">
        <x:v>Loja</x:v>
      </x:c>
      <x:c r="E6" s="78" t="str">
        <x:v>Manter simultaneamente até o troféu</x:v>
      </x:c>
    </x:row>
    <x:row r="7">
      <x:c r="A7" s="74" t="n">
        <x:v>4</x:v>
      </x:c>
      <x:c r="B7" s="74" t="str">
        <x:v>Handgun</x:v>
      </x:c>
      <x:c r="C7" s="74" t="str">
        <x:v>M93R</x:v>
      </x:c>
      <x:c r="D7" s="74" t="str">
        <x:v>Maximize M92F; comprar</x:v>
      </x:c>
      <x:c r="E7" s="74" t="str">
        <x:v>Manter simultaneamente até o troféu</x:v>
      </x:c>
    </x:row>
    <x:row r="8">
      <x:c r="A8" s="78" t="n">
        <x:v>5</x:v>
      </x:c>
      <x:c r="B8" s="78" t="str">
        <x:v>Shotgun</x:v>
      </x:c>
      <x:c r="C8" s="78" t="str">
        <x:v>Ithaca M37</x:v>
      </x:c>
      <x:c r="D8" s="78" t="str">
        <x:v>Capítulo/loja</x:v>
      </x:c>
      <x:c r="E8" s="78" t="str">
        <x:v>Manter simultaneamente até o troféu</x:v>
      </x:c>
    </x:row>
    <x:row r="9">
      <x:c r="A9" s="74" t="n">
        <x:v>6</x:v>
      </x:c>
      <x:c r="B9" s="74" t="str">
        <x:v>Shotgun</x:v>
      </x:c>
      <x:c r="C9" s="74" t="str">
        <x:v>M3</x:v>
      </x:c>
      <x:c r="D9" s="74" t="str">
        <x:v>Capítulo/loja</x:v>
      </x:c>
      <x:c r="E9" s="74" t="str">
        <x:v>Manter simultaneamente até o troféu</x:v>
      </x:c>
    </x:row>
    <x:row r="10">
      <x:c r="A10" s="78" t="n">
        <x:v>7</x:v>
      </x:c>
      <x:c r="B10" s="78" t="str">
        <x:v>Shotgun</x:v>
      </x:c>
      <x:c r="C10" s="78" t="str">
        <x:v>Jail Breaker</x:v>
      </x:c>
      <x:c r="D10" s="78" t="str">
        <x:v>Capítulo/loja</x:v>
      </x:c>
      <x:c r="E10" s="78" t="str">
        <x:v>Manter simultaneamente até o troféu</x:v>
      </x:c>
    </x:row>
    <x:row r="11">
      <x:c r="A11" s="74" t="n">
        <x:v>8</x:v>
      </x:c>
      <x:c r="B11" s="74" t="str">
        <x:v>Shotgun</x:v>
      </x:c>
      <x:c r="C11" s="74" t="str">
        <x:v>Hydra</x:v>
      </x:c>
      <x:c r="D11" s="74" t="str">
        <x:v>Maximize Ithaca M37; comprar</x:v>
      </x:c>
      <x:c r="E11" s="74" t="str">
        <x:v>Manter simultaneamente até o troféu</x:v>
      </x:c>
    </x:row>
    <x:row r="12">
      <x:c r="A12" s="78" t="n">
        <x:v>9</x:v>
      </x:c>
      <x:c r="B12" s="78" t="str">
        <x:v>Machine gun</x:v>
      </x:c>
      <x:c r="C12" s="78" t="str">
        <x:v>VZ61</x:v>
      </x:c>
      <x:c r="D12" s="78" t="str">
        <x:v>Capítulo/loja</x:v>
      </x:c>
      <x:c r="E12" s="78" t="str">
        <x:v>Manter simultaneamente até o troféu</x:v>
      </x:c>
    </x:row>
    <x:row r="13">
      <x:c r="A13" s="74" t="n">
        <x:v>10</x:v>
      </x:c>
      <x:c r="B13" s="74" t="str">
        <x:v>Machine gun</x:v>
      </x:c>
      <x:c r="C13" s="74" t="str">
        <x:v>AK-74</x:v>
      </x:c>
      <x:c r="D13" s="74" t="str">
        <x:v>Capítulo/loja</x:v>
      </x:c>
      <x:c r="E13" s="74" t="str">
        <x:v>Manter simultaneamente até o troféu</x:v>
      </x:c>
    </x:row>
    <x:row r="14">
      <x:c r="A14" s="78" t="n">
        <x:v>11</x:v>
      </x:c>
      <x:c r="B14" s="78" t="str">
        <x:v>Machine gun</x:v>
      </x:c>
      <x:c r="C14" s="78" t="str">
        <x:v>H&amp;K MP5</x:v>
      </x:c>
      <x:c r="D14" s="78" t="str">
        <x:v>Capítulo/loja</x:v>
      </x:c>
      <x:c r="E14" s="78" t="str">
        <x:v>Manter simultaneamente até o troféu</x:v>
      </x:c>
    </x:row>
    <x:row r="15">
      <x:c r="A15" s="74" t="n">
        <x:v>12</x:v>
      </x:c>
      <x:c r="B15" s="74" t="str">
        <x:v>Machine gun</x:v>
      </x:c>
      <x:c r="C15" s="74" t="str">
        <x:v>SIG 556</x:v>
      </x:c>
      <x:c r="D15" s="74" t="str">
        <x:v>Capítulo/loja</x:v>
      </x:c>
      <x:c r="E15" s="74" t="str">
        <x:v>Manter simultaneamente até o troféu</x:v>
      </x:c>
    </x:row>
    <x:row r="16">
      <x:c r="A16" s="78" t="n">
        <x:v>13</x:v>
      </x:c>
      <x:c r="B16" s="78" t="str">
        <x:v>Special</x:v>
      </x:c>
      <x:c r="C16" s="78" t="str">
        <x:v>Gatling Gun</x:v>
      </x:c>
      <x:c r="D16" s="78" t="str">
        <x:v>Concluir jogo + maximizar VZ61; Chris</x:v>
      </x:c>
      <x:c r="E16" s="78" t="str">
        <x:v>Manter simultaneamente até o troféu</x:v>
      </x:c>
    </x:row>
    <x:row r="17">
      <x:c r="A17" s="74" t="n">
        <x:v>14</x:v>
      </x:c>
      <x:c r="B17" s="74" t="str">
        <x:v>Rifle</x:v>
      </x:c>
      <x:c r="C17" s="74" t="str">
        <x:v>S75</x:v>
      </x:c>
      <x:c r="D17" s="74" t="str">
        <x:v>Capítulo/loja</x:v>
      </x:c>
      <x:c r="E17" s="74" t="str">
        <x:v>Manter simultaneamente até o troféu</x:v>
      </x:c>
    </x:row>
    <x:row r="18">
      <x:c r="A18" s="78" t="n">
        <x:v>15</x:v>
      </x:c>
      <x:c r="B18" s="78" t="str">
        <x:v>Rifle</x:v>
      </x:c>
      <x:c r="C18" s="78" t="str">
        <x:v>Dragunov SVD</x:v>
      </x:c>
      <x:c r="D18" s="78" t="str">
        <x:v>Capítulo/loja</x:v>
      </x:c>
      <x:c r="E18" s="78" t="str">
        <x:v>Manter simultaneamente até o troféu</x:v>
      </x:c>
    </x:row>
    <x:row r="19">
      <x:c r="A19" s="74" t="n">
        <x:v>16</x:v>
      </x:c>
      <x:c r="B19" s="74" t="str">
        <x:v>Rifle</x:v>
      </x:c>
      <x:c r="C19" s="74" t="str">
        <x:v>H&amp;K PSG-1</x:v>
      </x:c>
      <x:c r="D19" s="74" t="str">
        <x:v>Capítulo/loja</x:v>
      </x:c>
      <x:c r="E19" s="74" t="str">
        <x:v>Manter simultaneamente até o troféu</x:v>
      </x:c>
    </x:row>
    <x:row r="20">
      <x:c r="A20" s="78" t="n">
        <x:v>17</x:v>
      </x:c>
      <x:c r="B20" s="78" t="str">
        <x:v>Special</x:v>
      </x:c>
      <x:c r="C20" s="78" t="str">
        <x:v>Longbow</x:v>
      </x:c>
      <x:c r="D20" s="78" t="str">
        <x:v>Concluir jogo + maximizar S75; Sheva</x:v>
      </x:c>
      <x:c r="E20" s="78" t="str">
        <x:v>Manter simultaneamente até o troféu</x:v>
      </x:c>
    </x:row>
    <x:row r="21">
      <x:c r="A21" s="74" t="n">
        <x:v>18</x:v>
      </x:c>
      <x:c r="B21" s="74" t="str">
        <x:v>Magnum</x:v>
      </x:c>
      <x:c r="C21" s="74" t="str">
        <x:v>S&amp;W M29</x:v>
      </x:c>
      <x:c r="D21" s="74" t="str">
        <x:v>Capítulo/loja</x:v>
      </x:c>
      <x:c r="E21" s="74" t="str">
        <x:v>Manter simultaneamente até o troféu</x:v>
      </x:c>
    </x:row>
    <x:row r="22">
      <x:c r="A22" s="78" t="n">
        <x:v>19</x:v>
      </x:c>
      <x:c r="B22" s="78" t="str">
        <x:v>Magnum</x:v>
      </x:c>
      <x:c r="C22" s="78" t="str">
        <x:v>L. Hawk</x:v>
      </x:c>
      <x:c r="D22" s="78" t="str">
        <x:v>Capítulo/loja</x:v>
      </x:c>
      <x:c r="E22" s="78" t="str">
        <x:v>Manter simultaneamente até o troféu</x:v>
      </x:c>
    </x:row>
    <x:row r="23">
      <x:c r="A23" s="74" t="n">
        <x:v>20</x:v>
      </x:c>
      <x:c r="B23" s="74" t="str">
        <x:v>Magnum</x:v>
      </x:c>
      <x:c r="C23" s="74" t="str">
        <x:v>S&amp;W M500</x:v>
      </x:c>
      <x:c r="D23" s="74" t="str">
        <x:v>Maximize S&amp;W M29; comprar</x:v>
      </x:c>
      <x:c r="E23" s="74" t="str">
        <x:v>Manter simultaneamente até o troféu</x:v>
      </x:c>
    </x:row>
    <x:row r="24">
      <x:c r="A24" s="78" t="n">
        <x:v>21</x:v>
      </x:c>
      <x:c r="B24" s="78" t="str">
        <x:v>Other</x:v>
      </x:c>
      <x:c r="C24" s="78" t="str">
        <x:v>Grenade Launcher</x:v>
      </x:c>
      <x:c r="D24" s="78" t="str">
        <x:v>Capítulo/loja</x:v>
      </x:c>
      <x:c r="E24" s="78" t="str">
        <x:v>Manter simultaneamente até o troféu</x:v>
      </x:c>
    </x:row>
    <x:row r="25">
      <x:c r="A25" s="74" t="n">
        <x:v>22</x:v>
      </x:c>
      <x:c r="B25" s="74" t="str">
        <x:v>Other</x:v>
      </x:c>
      <x:c r="C25" s="74" t="str">
        <x:v>Rocket Launcher</x:v>
      </x:c>
      <x:c r="D25" s="74" t="str">
        <x:v>Capítulo/loja</x:v>
      </x:c>
      <x:c r="E25" s="74" t="str">
        <x:v>Manter simultaneamente até o troféu</x:v>
      </x:c>
    </x:row>
    <x:row r="26">
      <x:c r="A26" s="78" t="n">
        <x:v>23</x:v>
      </x:c>
      <x:c r="B26" s="78" t="str">
        <x:v>Other</x:v>
      </x:c>
      <x:c r="C26" s="78" t="str">
        <x:v>Stun Rod</x:v>
      </x:c>
      <x:c r="D26" s="78" t="str">
        <x:v>Loja</x:v>
      </x:c>
      <x:c r="E26" s="78" t="str">
        <x:v>Manter simultaneamente até o troféu</x:v>
      </x:c>
    </x:row>
    <x:row r="27">
      <x:c r="A27" s="74" t="n">
        <x:v>24</x:v>
      </x:c>
      <x:c r="B27" s="74" t="str">
        <x:v>Explosive</x:v>
      </x:c>
      <x:c r="C27" s="74" t="str">
        <x:v>Proximity Bomb</x:v>
      </x:c>
      <x:c r="D27" s="74" t="str">
        <x:v>Loja</x:v>
      </x:c>
      <x:c r="E27" s="74" t="str">
        <x:v>Manter simultaneamente até o troféu</x:v>
      </x:c>
    </x:row>
    <x:row r="28">
      <x:c r="A28" s="78" t="n">
        <x:v>25</x:v>
      </x:c>
      <x:c r="B28" s="78" t="str">
        <x:v>Explosive</x:v>
      </x:c>
      <x:c r="C28" s="78" t="str">
        <x:v>Flash Grenade</x:v>
      </x:c>
      <x:c r="D28" s="78" t="str">
        <x:v>Loja/drop</x:v>
      </x:c>
      <x:c r="E28" s="78" t="str">
        <x:v>Manter simultaneamente até o troféu</x:v>
      </x:c>
    </x:row>
    <x:row r="29">
      <x:c r="A29" s="74" t="n">
        <x:v>26</x:v>
      </x:c>
      <x:c r="B29" s="74" t="str">
        <x:v>Explosive</x:v>
      </x:c>
      <x:c r="C29" s="74" t="str">
        <x:v>Hand Grenade</x:v>
      </x:c>
      <x:c r="D29" s="74" t="str">
        <x:v>Loja/drop</x:v>
      </x:c>
      <x:c r="E29" s="74" t="str">
        <x:v>Manter simultaneamente até o troféu</x:v>
      </x:c>
    </x:row>
    <x:row r="30">
      <x:c r="A30" s="78" t="n">
        <x:v>27</x:v>
      </x:c>
      <x:c r="B30" s="78" t="str">
        <x:v>Explosive</x:v>
      </x:c>
      <x:c r="C30" s="78" t="str">
        <x:v>Incendiary Grenade</x:v>
      </x:c>
      <x:c r="D30" s="78" t="str">
        <x:v>Loja/drop</x:v>
      </x:c>
      <x:c r="E30" s="78" t="str">
        <x:v>Manter simultaneamente até o troféu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2018178b113477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8" hidden="0" customWidth="1"/>
    <x:col min="4" max="4" width="60" hidden="0" customWidth="1"/>
    <x:col min="5" max="5" width="24" hidden="0" customWidth="1"/>
  </x:cols>
  <x:sheetData>
    <x:row r="1" ht="30" customHeight="1">
      <x:c r="A1" s="5" t="str">
        <x:v>Checklist — 18 armas aprimoráveis</x:v>
      </x:c>
    </x:row>
    <x:row r="2" ht="20" customHeight="1">
      <x:c r="A2" s="11" t="str">
        <x:v>AtlasAchievement • Portão A • verificação: 26/07/2026</x:v>
      </x:c>
      <x:c r="B2" t="str"/>
      <x:c r="C2" t="str"/>
      <x:c r="D2" t="str"/>
      <x:c r="E2" t="str"/>
    </x:row>
    <x:row r="3" ht="30" customHeight="1">
      <x:c r="A3" s="66" t="str">
        <x:v>#</x:v>
      </x:c>
      <x:c r="B3" s="66" t="str">
        <x:v>Categoria</x:v>
      </x:c>
      <x:c r="C3" s="66" t="str">
        <x:v>Arma</x:v>
      </x:c>
      <x:c r="D3" s="66" t="str">
        <x:v>Dependência/cadeia</x:v>
      </x:c>
      <x:c r="E3" s="66" t="str">
        <x:v>Status editorial</x:v>
      </x:c>
    </x:row>
    <x:row r="4">
      <x:c r="A4" s="78" t="n">
        <x:v>1</x:v>
      </x:c>
      <x:c r="B4" s="78" t="str">
        <x:v>Handgun</x:v>
      </x:c>
      <x:c r="C4" s="78" t="str">
        <x:v>M92F</x:v>
      </x:c>
      <x:c r="D4" s="78" t="str">
        <x:v>Desbloqueia M93R ao maximizar</x:v>
      </x:c>
      <x:c r="E4" s="78" t="str">
        <x:v>Pendente</x:v>
      </x:c>
    </x:row>
    <x:row r="5">
      <x:c r="A5" s="74" t="n">
        <x:v>2</x:v>
      </x:c>
      <x:c r="B5" s="74" t="str">
        <x:v>Handgun</x:v>
      </x:c>
      <x:c r="C5" s="74" t="str">
        <x:v>H&amp;K P8</x:v>
      </x:c>
      <x:c r="D5" s="74" t="str">
        <x:v>—</x:v>
      </x:c>
      <x:c r="E5" s="74" t="str">
        <x:v>Pendente</x:v>
      </x:c>
    </x:row>
    <x:row r="6">
      <x:c r="A6" s="78" t="n">
        <x:v>3</x:v>
      </x:c>
      <x:c r="B6" s="78" t="str">
        <x:v>Handgun</x:v>
      </x:c>
      <x:c r="C6" s="78" t="str">
        <x:v>SIG P226</x:v>
      </x:c>
      <x:c r="D6" s="78" t="str">
        <x:v>—</x:v>
      </x:c>
      <x:c r="E6" s="78" t="str">
        <x:v>Pendente</x:v>
      </x:c>
    </x:row>
    <x:row r="7">
      <x:c r="A7" s="74" t="n">
        <x:v>4</x:v>
      </x:c>
      <x:c r="B7" s="74" t="str">
        <x:v>Handgun</x:v>
      </x:c>
      <x:c r="C7" s="74" t="str">
        <x:v>M93R</x:v>
      </x:c>
      <x:c r="D7" s="74" t="str">
        <x:v>Exige M92F máxima</x:v>
      </x:c>
      <x:c r="E7" s="74" t="str">
        <x:v>Pendente</x:v>
      </x:c>
    </x:row>
    <x:row r="8">
      <x:c r="A8" s="78" t="n">
        <x:v>5</x:v>
      </x:c>
      <x:c r="B8" s="78" t="str">
        <x:v>Shotgun</x:v>
      </x:c>
      <x:c r="C8" s="78" t="str">
        <x:v>Ithaca M37</x:v>
      </x:c>
      <x:c r="D8" s="78" t="str">
        <x:v>Desbloqueia Hydra ao maximizar</x:v>
      </x:c>
      <x:c r="E8" s="78" t="str">
        <x:v>Pendente</x:v>
      </x:c>
    </x:row>
    <x:row r="9">
      <x:c r="A9" s="74" t="n">
        <x:v>6</x:v>
      </x:c>
      <x:c r="B9" s="74" t="str">
        <x:v>Shotgun</x:v>
      </x:c>
      <x:c r="C9" s="74" t="str">
        <x:v>M3</x:v>
      </x:c>
      <x:c r="D9" s="74" t="str">
        <x:v>—</x:v>
      </x:c>
      <x:c r="E9" s="74" t="str">
        <x:v>Pendente</x:v>
      </x:c>
    </x:row>
    <x:row r="10">
      <x:c r="A10" s="78" t="n">
        <x:v>7</x:v>
      </x:c>
      <x:c r="B10" s="78" t="str">
        <x:v>Shotgun</x:v>
      </x:c>
      <x:c r="C10" s="78" t="str">
        <x:v>Jail Breaker</x:v>
      </x:c>
      <x:c r="D10" s="78" t="str">
        <x:v>—</x:v>
      </x:c>
      <x:c r="E10" s="78" t="str">
        <x:v>Pendente</x:v>
      </x:c>
    </x:row>
    <x:row r="11">
      <x:c r="A11" s="74" t="n">
        <x:v>8</x:v>
      </x:c>
      <x:c r="B11" s="74" t="str">
        <x:v>Shotgun</x:v>
      </x:c>
      <x:c r="C11" s="74" t="str">
        <x:v>Hydra</x:v>
      </x:c>
      <x:c r="D11" s="74" t="str">
        <x:v>Exige Ithaca M37 máxima</x:v>
      </x:c>
      <x:c r="E11" s="74" t="str">
        <x:v>Pendente</x:v>
      </x:c>
    </x:row>
    <x:row r="12">
      <x:c r="A12" s="78" t="n">
        <x:v>9</x:v>
      </x:c>
      <x:c r="B12" s="78" t="str">
        <x:v>Machine gun</x:v>
      </x:c>
      <x:c r="C12" s="78" t="str">
        <x:v>VZ61</x:v>
      </x:c>
      <x:c r="D12" s="78" t="str">
        <x:v>Desbloqueia Gatling Gun após concluir campanha</x:v>
      </x:c>
      <x:c r="E12" s="78" t="str">
        <x:v>Pendente</x:v>
      </x:c>
    </x:row>
    <x:row r="13">
      <x:c r="A13" s="74" t="n">
        <x:v>10</x:v>
      </x:c>
      <x:c r="B13" s="74" t="str">
        <x:v>Machine gun</x:v>
      </x:c>
      <x:c r="C13" s="74" t="str">
        <x:v>AK-74</x:v>
      </x:c>
      <x:c r="D13" s="74" t="str">
        <x:v>—</x:v>
      </x:c>
      <x:c r="E13" s="74" t="str">
        <x:v>Pendente</x:v>
      </x:c>
    </x:row>
    <x:row r="14">
      <x:c r="A14" s="78" t="n">
        <x:v>11</x:v>
      </x:c>
      <x:c r="B14" s="78" t="str">
        <x:v>Machine gun</x:v>
      </x:c>
      <x:c r="C14" s="78" t="str">
        <x:v>H&amp;K MP5</x:v>
      </x:c>
      <x:c r="D14" s="78" t="str">
        <x:v>—</x:v>
      </x:c>
      <x:c r="E14" s="78" t="str">
        <x:v>Pendente</x:v>
      </x:c>
    </x:row>
    <x:row r="15">
      <x:c r="A15" s="74" t="n">
        <x:v>12</x:v>
      </x:c>
      <x:c r="B15" s="74" t="str">
        <x:v>Machine gun</x:v>
      </x:c>
      <x:c r="C15" s="74" t="str">
        <x:v>SIG 556</x:v>
      </x:c>
      <x:c r="D15" s="74" t="str">
        <x:v>—</x:v>
      </x:c>
      <x:c r="E15" s="74" t="str">
        <x:v>Pendente</x:v>
      </x:c>
    </x:row>
    <x:row r="16">
      <x:c r="A16" s="78" t="n">
        <x:v>13</x:v>
      </x:c>
      <x:c r="B16" s="78" t="str">
        <x:v>Rifle</x:v>
      </x:c>
      <x:c r="C16" s="78" t="str">
        <x:v>S75</x:v>
      </x:c>
      <x:c r="D16" s="78" t="str">
        <x:v>Desbloqueia Longbow após concluir campanha</x:v>
      </x:c>
      <x:c r="E16" s="78" t="str">
        <x:v>Pendente</x:v>
      </x:c>
    </x:row>
    <x:row r="17">
      <x:c r="A17" s="74" t="n">
        <x:v>14</x:v>
      </x:c>
      <x:c r="B17" s="74" t="str">
        <x:v>Rifle</x:v>
      </x:c>
      <x:c r="C17" s="74" t="str">
        <x:v>Dragunov SVD</x:v>
      </x:c>
      <x:c r="D17" s="74" t="str">
        <x:v>—</x:v>
      </x:c>
      <x:c r="E17" s="74" t="str">
        <x:v>Pendente</x:v>
      </x:c>
    </x:row>
    <x:row r="18">
      <x:c r="A18" s="78" t="n">
        <x:v>15</x:v>
      </x:c>
      <x:c r="B18" s="78" t="str">
        <x:v>Rifle</x:v>
      </x:c>
      <x:c r="C18" s="78" t="str">
        <x:v>H&amp;K PSG-1</x:v>
      </x:c>
      <x:c r="D18" s="78" t="str">
        <x:v>—</x:v>
      </x:c>
      <x:c r="E18" s="78" t="str">
        <x:v>Pendente</x:v>
      </x:c>
    </x:row>
    <x:row r="19">
      <x:c r="A19" s="74" t="n">
        <x:v>16</x:v>
      </x:c>
      <x:c r="B19" s="74" t="str">
        <x:v>Magnum</x:v>
      </x:c>
      <x:c r="C19" s="74" t="str">
        <x:v>S&amp;W M29</x:v>
      </x:c>
      <x:c r="D19" s="74" t="str">
        <x:v>Desbloqueia S&amp;W M500 ao maximizar</x:v>
      </x:c>
      <x:c r="E19" s="74" t="str">
        <x:v>Pendente</x:v>
      </x:c>
    </x:row>
    <x:row r="20">
      <x:c r="A20" s="78" t="n">
        <x:v>17</x:v>
      </x:c>
      <x:c r="B20" s="78" t="str">
        <x:v>Magnum</x:v>
      </x:c>
      <x:c r="C20" s="78" t="str">
        <x:v>L. Hawk</x:v>
      </x:c>
      <x:c r="D20" s="78" t="str">
        <x:v>—</x:v>
      </x:c>
      <x:c r="E20" s="78" t="str">
        <x:v>Pendente</x:v>
      </x:c>
    </x:row>
    <x:row r="21">
      <x:c r="A21" s="74" t="n">
        <x:v>18</x:v>
      </x:c>
      <x:c r="B21" s="74" t="str">
        <x:v>Magnum</x:v>
      </x:c>
      <x:c r="C21" s="74" t="str">
        <x:v>S&amp;W M500</x:v>
      </x:c>
      <x:c r="D21" s="74" t="str">
        <x:v>Exige S&amp;W M29 máxima</x:v>
      </x:c>
      <x:c r="E21" s="74" t="str">
        <x:v>Pendente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163b30842b6445d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4" hidden="0" customWidth="1"/>
    <x:col min="4" max="4" width="16" hidden="0" customWidth="1"/>
    <x:col min="5" max="5" width="52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5" t="str">
        <x:v>Versus PS4 — requisitos, boost e economia</x:v>
      </x:c>
    </x:row>
    <x:row r="2" ht="32" customHeight="1">
      <x:c r="A2" s="82" t="str">
        <x:v>Valores PS4 confirmados: 15 vitórias em cada modo e 50 eliminações físicas. Valores PS3 antigos (30/100) não se aplicam.</x:v>
      </x:c>
    </x:row>
    <x:row r="4">
      <x:c r="A4" s="87" t="str">
        <x:v>Troféu</x:v>
      </x:c>
      <x:c r="B4" s="87" t="str">
        <x:v>Modo</x:v>
      </x:c>
      <x:c r="C4" s="87" t="str">
        <x:v>Requisito PS4</x:v>
      </x:c>
      <x:c r="D4" s="87" t="str">
        <x:v>Jogadores mínimos</x:v>
      </x:c>
      <x:c r="E4" s="87" t="str">
        <x:v>Integração</x:v>
      </x:c>
    </x:row>
    <x:row r="5">
      <x:c r="A5" s="92" t="str">
        <x:v>Army of One</x:v>
      </x:c>
      <x:c r="B5" s="92" t="str">
        <x:v>Slayers</x:v>
      </x:c>
      <x:c r="C5" s="92" t="str">
        <x:v>15 vitórias</x:v>
      </x:c>
      <x:c r="D5" s="92" t="str">
        <x:v>2</x:v>
      </x:c>
      <x:c r="E5" s="92" t="str">
        <x:v>Combinar combo 20 + melees</x:v>
      </x:c>
    </x:row>
    <x:row r="6">
      <x:c r="A6" s="92" t="str">
        <x:v>Eye of the Tiger</x:v>
      </x:c>
      <x:c r="B6" s="92" t="str">
        <x:v>Survivors</x:v>
      </x:c>
      <x:c r="C6" s="92" t="str">
        <x:v>15 vitórias</x:v>
      </x:c>
      <x:c r="D6" s="92" t="str">
        <x:v>2</x:v>
      </x:c>
      <x:c r="E6" s="92" t="str">
        <x:v>Combinar 40.000 pontos</x:v>
      </x:c>
    </x:row>
    <x:row r="7">
      <x:c r="A7" s="92" t="str">
        <x:v>The Team That Slays Together...</x:v>
      </x:c>
      <x:c r="B7" s="92" t="str">
        <x:v>Team Slayers</x:v>
      </x:c>
      <x:c r="C7" s="92" t="str">
        <x:v>15 vitórias</x:v>
      </x:c>
      <x:c r="D7" s="92" t="str">
        <x:v>4</x:v>
      </x:c>
      <x:c r="E7" s="92" t="str">
        <x:v>Combinar combo de equipe 40</x:v>
      </x:c>
    </x:row>
    <x:row r="8">
      <x:c r="A8" s="92" t="str">
        <x:v>We Will Survive</x:v>
      </x:c>
      <x:c r="B8" s="92" t="str">
        <x:v>Team Survivors</x:v>
      </x:c>
      <x:c r="C8" s="92" t="str">
        <x:v>15 vitórias</x:v>
      </x:c>
      <x:c r="D8" s="92" t="str">
        <x:v>4</x:v>
      </x:c>
      <x:c r="E8" s="92" t="str">
        <x:v>Combinar 80.000 pontos da equipe</x:v>
      </x:c>
    </x:row>
    <x:row r="9">
      <x:c r="A9" s="92" t="str">
        <x:v>Keep the Good Times Rolling</x:v>
      </x:c>
      <x:c r="B9" s="92" t="str">
        <x:v>Slayers</x:v>
      </x:c>
      <x:c r="C9" s="92" t="str">
        <x:v>Combo 20</x:v>
      </x:c>
      <x:c r="D9" s="92" t="str">
        <x:v>2</x:v>
      </x:c>
      <x:c r="E9" s="92" t="str">
        <x:v>Manter cadeia ativa</x:v>
      </x:c>
    </x:row>
    <x:row r="10">
      <x:c r="A10" s="92" t="str">
        <x:v>It Takes Two to Tango</x:v>
      </x:c>
      <x:c r="B10" s="92" t="str">
        <x:v>Team Slayers</x:v>
      </x:c>
      <x:c r="C10" s="92" t="str">
        <x:v>Combo equipe 40</x:v>
      </x:c>
      <x:c r="D10" s="92" t="str">
        <x:v>4</x:v>
      </x:c>
      <x:c r="E10" s="92" t="str">
        <x:v>Duas contas na equipe cooperam</x:v>
      </x:c>
    </x:row>
    <x:row r="11">
      <x:c r="A11" s="92" t="str">
        <x:v>It's All About the Points</x:v>
      </x:c>
      <x:c r="B11" s="92" t="str">
        <x:v>Survivors</x:v>
      </x:c>
      <x:c r="C11" s="92" t="str">
        <x:v>40.000 pontos</x:v>
      </x:c>
      <x:c r="D11" s="92" t="str">
        <x:v>2</x:v>
      </x:c>
      <x:c r="E11" s="92" t="str">
        <x:v>Concentrar eliminações</x:v>
      </x:c>
    </x:row>
    <x:row r="12">
      <x:c r="A12" s="92" t="str">
        <x:v>There's no "I" in Team</x:v>
      </x:c>
      <x:c r="B12" s="92" t="str">
        <x:v>Team Survivors</x:v>
      </x:c>
      <x:c r="C12" s="92" t="str">
        <x:v>80.000 pontos da equipe</x:v>
      </x:c>
      <x:c r="D12" s="92" t="str">
        <x:v>4</x:v>
      </x:c>
      <x:c r="E12" s="92" t="str">
        <x:v>Concentrar pontos em uma equipe</x:v>
      </x:c>
    </x:row>
    <x:row r="13">
      <x:c r="A13" s="92" t="str">
        <x:v>Let's Get This Party Started!</x:v>
      </x:c>
      <x:c r="B13" s="92" t="str">
        <x:v>Menu/Bonus Features</x:v>
      </x:c>
      <x:c r="C13" s="92" t="str">
        <x:v>8 personagens adicionais</x:v>
      </x:c>
      <x:c r="D13" s="92" t="str">
        <x:v>1</x:v>
      </x:c>
      <x:c r="E13" s="92" t="str">
        <x:v>Custo total: 134.000 EP</x:v>
      </x:c>
    </x:row>
    <x:row r="14">
      <x:c r="A14" s="92" t="str">
        <x:v>Bringing the Pain</x:v>
      </x:c>
      <x:c r="B14" s="92" t="str">
        <x:v>Qualquer Versus</x:v>
      </x:c>
      <x:c r="C14" s="92" t="str">
        <x:v>50 eliminações físicas</x:v>
      </x:c>
      <x:c r="D14" s="92" t="str">
        <x:v>2+</x:v>
      </x:c>
      <x:c r="E14" s="92" t="str">
        <x:v>Golpe final precisa ser melee</x:v>
      </x:c>
    </x:row>
    <x:row r="16">
      <x:c r="A16" s="16" t="str">
        <x:v>Personagem adicional</x:v>
      </x:c>
      <x:c r="B16" s="16" t="str">
        <x:v>Custo EP</x:v>
      </x:c>
      <x:c r="C16" s="16" t="str">
        <x:v>Observação</x:v>
      </x:c>
    </x:row>
    <x:row r="17">
      <x:c r="A17" s="91" t="str">
        <x:v>Chris (Safari)</x:v>
      </x:c>
      <x:c r="B17" s="96" t="n">
        <x:v>8000</x:v>
      </x:c>
      <x:c r="C17" s="91" t="str">
        <x:v>Exigido para Let's Get This Party Started!</x:v>
      </x:c>
    </x:row>
    <x:row r="18">
      <x:c r="A18" s="91" t="str">
        <x:v>Chris (S.T.A.R.S.)</x:v>
      </x:c>
      <x:c r="B18" s="96" t="n">
        <x:v>13000</x:v>
      </x:c>
      <x:c r="C18" s="91" t="str">
        <x:v>Exigido para Let's Get This Party Started!</x:v>
      </x:c>
    </x:row>
    <x:row r="19">
      <x:c r="A19" s="91" t="str">
        <x:v>Sheva (Clubbin')</x:v>
      </x:c>
      <x:c r="B19" s="96" t="n">
        <x:v>6000</x:v>
      </x:c>
      <x:c r="C19" s="91" t="str">
        <x:v>Exigido para Let's Get This Party Started!</x:v>
      </x:c>
    </x:row>
    <x:row r="20">
      <x:c r="A20" s="91" t="str">
        <x:v>Sheva (Tribal)</x:v>
      </x:c>
      <x:c r="B20" s="96" t="n">
        <x:v>15000</x:v>
      </x:c>
      <x:c r="C20" s="91" t="str">
        <x:v>Exigido para Let's Get This Party Started!</x:v>
      </x:c>
    </x:row>
    <x:row r="21">
      <x:c r="A21" s="91" t="str">
        <x:v>Jill (BSAA)</x:v>
      </x:c>
      <x:c r="B21" s="96" t="n">
        <x:v>5000</x:v>
      </x:c>
      <x:c r="C21" s="91" t="str">
        <x:v>Exigido para Let's Get This Party Started!</x:v>
      </x:c>
    </x:row>
    <x:row r="22">
      <x:c r="A22" s="91" t="str">
        <x:v>Jill (Battle Suit)</x:v>
      </x:c>
      <x:c r="B22" s="96" t="n">
        <x:v>7000</x:v>
      </x:c>
      <x:c r="C22" s="91" t="str">
        <x:v>Exigido para Let's Get This Party Started!</x:v>
      </x:c>
    </x:row>
    <x:row r="23">
      <x:c r="A23" s="91" t="str">
        <x:v>Wesker (Midnight)</x:v>
      </x:c>
      <x:c r="B23" s="96" t="n">
        <x:v>30000</x:v>
      </x:c>
      <x:c r="C23" s="91" t="str">
        <x:v>Exigido para Let's Get This Party Started!</x:v>
      </x:c>
    </x:row>
    <x:row r="24">
      <x:c r="A24" s="91" t="str">
        <x:v>Wesker (S.T.A.R.S.)</x:v>
      </x:c>
      <x:c r="B24" s="96" t="n">
        <x:v>50000</x:v>
      </x:c>
      <x:c r="C24" s="91" t="str">
        <x:v>Exigido para Let's Get This Party Started!</x:v>
      </x:c>
    </x:row>
    <x:row r="25">
      <x:c r="A25" s="91" t="str">
        <x:v>Total</x:v>
      </x:c>
      <x:c r="B25" s="96" t="n">
        <x:v>134000</x:v>
      </x:c>
      <x:c r="C25" s="91" t="str">
        <x:v>Fora o custo de figuras e munições infinitas</x:v>
      </x:c>
    </x:row>
    <x:row r="27">
      <x:c r="A27" s="15" t="str">
        <x:v>Configuração recomendada de boost</x:v>
      </x:c>
    </x:row>
    <x:row r="28" ht="62" customHeight="1">
      <x:c r="A28" s="99" t="str">
        <x:v>Use quatro jogadores/contas. Faça primeiro os modos de equipe, rotacionando 15 vitórias por equipe-alvo e incorporando combo 40, 80.000 pontos e melees. Depois separe em duplas para Slayers/Survivors. Para uma conta-alvo, o piso é 60 vitórias (15 × 4 modos); para quatro contas, a rotação teórica completa exige 180 partidas se todos precisarem das vitórias.</x:v>
      </x:c>
    </x:row>
  </x:sheetData>
  <x:mergeCells>
    <x:mergeCell ref="A1:H1"/>
    <x:mergeCell ref="A2:H2"/>
    <x:mergeCell ref="A27:H27"/>
    <x:mergeCell ref="A28:H30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65" hidden="0" customWidth="1"/>
    <x:col min="4" max="4" width="68" hidden="0" customWidth="1"/>
    <x:col min="5" max="5" width="16" hidden="0" customWidth="1"/>
  </x:cols>
  <x:sheetData>
    <x:row r="1" ht="30" customHeight="1">
      <x:c r="A1" s="5" t="str">
        <x:v>Lost in Nightmares e Desperate Escape — requisitos auditados</x:v>
      </x:c>
    </x:row>
    <x:row r="2" ht="20" customHeight="1">
      <x:c r="A2" s="11" t="str">
        <x:v>AtlasAchievement • Portão A • verificação: 26/07/2026</x:v>
      </x:c>
      <x:c r="B2" t="str"/>
      <x:c r="C2" t="str"/>
      <x:c r="D2" t="str"/>
      <x:c r="E2" t="str"/>
    </x:row>
    <x:row r="3" ht="30" customHeight="1">
      <x:c r="A3" s="66" t="str">
        <x:v>Conteúdo</x:v>
      </x:c>
      <x:c r="B3" s="66" t="str">
        <x:v>Tema</x:v>
      </x:c>
      <x:c r="C3" s="66" t="str">
        <x:v>Conclusão</x:v>
      </x:c>
      <x:c r="D3" s="66" t="str">
        <x:v>Método conservador/impacto</x:v>
      </x:c>
      <x:c r="E3" s="66" t="str">
        <x:v>Confiança</x:v>
      </x:c>
    </x:row>
    <x:row r="4">
      <x:c r="A4" s="78" t="str">
        <x:v>Lost in Nightmares</x:v>
      </x:c>
      <x:c r="B4" s="78" t="str">
        <x:v>Desbloqueio</x:v>
      </x:c>
      <x:c r="C4" s="78" t="str">
        <x:v>Após concluir 3-1 no próprio save; Chris é padrão solo.</x:v>
      </x:c>
      <x:c r="D4" s="78" t="str">
        <x:v>Jill após primeira conclusão; não afeta troféus.</x:v>
      </x:c>
      <x:c r="E4" s="78" t="str">
        <x:v>Média-alta</x:v>
      </x:c>
    </x:row>
    <x:row r="5">
      <x:c r="A5" s="74" t="str">
        <x:v>Lost in Nightmares</x:v>
      </x:c>
      <x:c r="B5" s="74" t="str">
        <x:v>Professional</x:v>
      </x:c>
      <x:c r="C5" s="74" t="str">
        <x:v>Concluir o episódio em Veteran para liberar Professional.</x:v>
      </x:c>
      <x:c r="D5" s="74" t="str">
        <x:v>Professional do jogo-base não substitui.</x:v>
      </x:c>
      <x:c r="E5" s="74" t="str">
        <x:v>Alta</x:v>
      </x:c>
    </x:row>
    <x:row r="6">
      <x:c r="A6" s="78" t="str">
        <x:v>Lost in Nightmares</x:v>
      </x:c>
      <x:c r="B6" s="78" t="str">
        <x:v>Rank S</x:v>
      </x:c>
      <x:c r="C6" s="78" t="str">
        <x:v>Qualquer dificuldade; recomendação: Amateur/Normal.</x:v>
      </x:c>
      <x:c r="D6" s="78" t="str">
        <x:v>Combinar com 18 estrelas melhora score.</x:v>
      </x:c>
      <x:c r="E6" s="78" t="str">
        <x:v>Alta</x:v>
      </x:c>
    </x:row>
    <x:row r="7">
      <x:c r="A7" s="74" t="str">
        <x:v>Lost in Nightmares</x:v>
      </x:c>
      <x:c r="B7" s="74" t="str">
        <x:v>Wish Upon a Star</x:v>
      </x:c>
      <x:c r="C7" s="74" t="str">
        <x:v>18/18 na mesma passagem.</x:v>
      </x:c>
      <x:c r="D7" s="74" t="str">
        <x:v>Após retry, refaça estrelas posteriores ao checkpoint.</x:v>
      </x:c>
      <x:c r="E7" s="74" t="str">
        <x:v>Alta</x:v>
      </x:c>
    </x:row>
    <x:row r="8">
      <x:c r="A8" s="78" t="str">
        <x:v>Lost in Nightmares</x:v>
      </x:c>
      <x:c r="B8" s="78" t="str">
        <x:v>Kung Fu Fighting</x:v>
      </x:c>
      <x:c r="C8" s="78" t="str">
        <x:v>Acumular dano em Wesker com sequências de esquiva/contra-ataque melee.</x:v>
      </x:c>
      <x:c r="D8" s="78" t="str">
        <x:v>Prolongar luta em Amateur; sem número oculto afirmado.</x:v>
      </x:c>
      <x:c r="E8" s="78" t="str">
        <x:v>Média-alta</x:v>
      </x:c>
    </x:row>
    <x:row r="9">
      <x:c r="A9" s="74" t="str">
        <x:v>Desperate Escape</x:v>
      </x:c>
      <x:c r="B9" s="74" t="str">
        <x:v>Desbloqueio</x:v>
      </x:c>
      <x:c r="C9" s="74" t="str">
        <x:v>Rota conservadora: após concluir a campanha principal no próprio save.</x:v>
      </x:c>
      <x:c r="D9" s="74" t="str">
        <x:v>Não depender de join coop para abrir o episódio.</x:v>
      </x:c>
      <x:c r="E9" s="74" t="str">
        <x:v>Média-alta</x:v>
      </x:c>
    </x:row>
    <x:row r="10">
      <x:c r="A10" s="78" t="str">
        <x:v>Desperate Escape</x:v>
      </x:c>
      <x:c r="B10" s="78" t="str">
        <x:v>Professional</x:v>
      </x:c>
      <x:c r="C10" s="78" t="str">
        <x:v>Concluir o episódio em Veteran para liberar Professional.</x:v>
      </x:c>
      <x:c r="D10" s="78" t="str">
        <x:v>Separado da dificuldade da campanha principal.</x:v>
      </x:c>
      <x:c r="E10" s="78" t="str">
        <x:v>Alta</x:v>
      </x:c>
    </x:row>
    <x:row r="11">
      <x:c r="A11" s="74" t="str">
        <x:v>Desperate Escape</x:v>
      </x:c>
      <x:c r="B11" s="74" t="str">
        <x:v>Rank S</x:v>
      </x:c>
      <x:c r="C11" s="74" t="str">
        <x:v>Qualquer dificuldade; recomendação: Amateur.</x:v>
      </x:c>
      <x:c r="D11" s="74" t="str">
        <x:v>150 abates ajuda score, mas pode exigir tentativa dedicada.</x:v>
      </x:c>
      <x:c r="E11" s="74" t="str">
        <x:v>Alta</x:v>
      </x:c>
    </x:row>
    <x:row r="12">
      <x:c r="A12" s="78" t="str">
        <x:v>Desperate Escape</x:v>
      </x:c>
      <x:c r="B12" s="78" t="str">
        <x:v>Way of the Warrior</x:v>
      </x:c>
      <x:c r="C12" s="78" t="str">
        <x:v>150 mortes pessoais na mesma passagem.</x:v>
      </x:c>
      <x:c r="D12" s="78" t="str">
        <x:v>Solo, IA desarmada, todo dano/finalização pessoal.</x:v>
      </x:c>
      <x:c r="E12" s="78" t="str">
        <x:v>Média-alta</x:v>
      </x:c>
    </x:row>
    <x:row r="13">
      <x:c r="A13" s="74" t="str">
        <x:v>Desperate Escape</x:v>
      </x:c>
      <x:c r="B13" s="74" t="str">
        <x:v>Shoot the Messenger</x:v>
      </x:c>
      <x:c r="C13" s="74" t="str">
        <x:v>Matar 3 Agitator Majini na mesma passagem.</x:v>
      </x:c>
      <x:c r="D13" s="74" t="str">
        <x:v>Respeitar três gatilhos de spawn; checklist 1/3–3/3.</x:v>
      </x:c>
      <x:c r="E13" s="74" t="str">
        <x:v>Média-alta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0135e33da854cce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2" hidden="0" customWidth="1"/>
    <x:col min="4" max="4" width="38" hidden="0" customWidth="1"/>
    <x:col min="5" max="5" width="10" hidden="0" customWidth="1"/>
    <x:col min="6" max="6" width="40" hidden="0" customWidth="1"/>
    <x:col min="7" max="7" width="38" hidden="0" customWidth="1"/>
    <x:col min="8" max="8" width="38" hidden="0" customWidth="1"/>
    <x:col min="9" max="9" width="34" hidden="0" customWidth="1"/>
  </x:cols>
  <x:sheetData>
    <x:row r="1" ht="28" customHeight="1">
      <x:c r="A1" s="112" t="str">
        <x:v>Portão B — Rota definitiva</x:v>
      </x:c>
      <x:c r="B1" s="112"/>
      <x:c r="C1" s="112"/>
      <x:c r="D1" s="112"/>
      <x:c r="E1" s="112"/>
      <x:c r="F1" s="112"/>
      <x:c r="G1" s="112"/>
      <x:c r="H1" s="112"/>
      <x:c r="I1" s="112"/>
    </x:row>
    <x:row r="2" ht="22" customHeight="1">
      <x:c r="A2" s="115" t="str">
        <x:v>Rota recomendada operacional; não é o guia público.</x:v>
      </x:c>
      <x:c r="B2" s="115"/>
      <x:c r="C2" s="115"/>
      <x:c r="D2" s="115"/>
      <x:c r="E2" s="115"/>
      <x:c r="F2" s="115"/>
      <x:c r="G2" s="115"/>
      <x:c r="H2" s="115"/>
      <x:c r="I2" s="115"/>
    </x:row>
    <x:row r="3" ht="28" customHeight="1">
      <x:c r="A3" s="121" t="str">
        <x:v>Etapa</x:v>
      </x:c>
      <x:c r="B3" s="121" t="str">
        <x:v>Pacote</x:v>
      </x:c>
      <x:c r="C3" s="121" t="str">
        <x:v>Dificuldade/modo</x:v>
      </x:c>
      <x:c r="D3" s="121" t="str">
        <x:v>Objetivo</x:v>
      </x:c>
      <x:c r="E3" s="121" t="str">
        <x:v>Troféus</x:v>
      </x:c>
      <x:c r="F3" s="121" t="str">
        <x:v>Coletáveis/controle</x:v>
      </x:c>
      <x:c r="G3" s="121" t="str">
        <x:v>Risco principal</x:v>
      </x:c>
      <x:c r="H3" s="121" t="str">
        <x:v>Condição de saída</x:v>
      </x:c>
      <x:c r="I3" s="121" t="str">
        <x:v>Fonte</x:v>
      </x:c>
    </x:row>
    <x:row r="4">
      <x:c r="A4" s="124" t="str">
        <x:v>Etapa 1 — Normal: campanha, emblemas e tesouros</x:v>
      </x:c>
      <x:c r="B4" s="124" t="str">
        <x:v>Jogo-base</x:v>
      </x:c>
      <x:c r="C4" s="124" t="str">
        <x:v>Normal</x:v>
      </x:c>
      <x:c r="D4" s="124" t="str">
        <x:v>16 capítulos em ordem; coletáveis e objetivos de capítulo.</x:v>
      </x:c>
      <x:c r="E4" s="124" t="n">
        <x:f>COUNTIF(Cobertura_Rota!$F$4:$F$74,A4)</x:f>
        <x:v>34</x:v>
      </x:c>
      <x:c r="F4" s="124" t="str">
        <x:v>30 BSAA Emblems; 50 tipos de tesouro; 5-3 Bad Blood/Heart of Africa/Masters.</x:v>
      </x:c>
      <x:c r="G4" s="124" t="str">
        <x:v>Vender armas cedo ou sair sem confirmar coletáveis.</x:v>
      </x:c>
      <x:c r="H4" s="124" t="str">
        <x:v>Normal concluído; 30/30 emblemas; catálogo 50/50 ou faltas mapeadas.</x:v>
      </x:c>
      <x:c r="I4" s="124" t="str">
        <x:v>https://steamcommunity.com/sharedfiles/filedetails/?id=448808219</x:v>
      </x:c>
    </x:row>
    <x:row r="5">
      <x:c r="A5" s="124" t="str">
        <x:v>Etapa 2 — Amateur: rank S, sub-5h e limpeza base</x:v>
      </x:c>
      <x:c r="B5" s="124" t="str">
        <x:v>Jogo-base</x:v>
      </x:c>
      <x:c r="C5" s="124" t="str">
        <x:v>Amateur / Chapter Select</x:v>
      </x:c>
      <x:c r="D5" s="124" t="str">
        <x:v>Rank S nos 16, soma inferior a 5h na mesma dificuldade, arsenal e situacionais.</x:v>
      </x:c>
      <x:c r="E5" s="124" t="n">
        <x:f>COUNTIF(Cobertura_Rota!$F$4:$F$74,A5)</x:f>
        <x:v>14</x:v>
      </x:c>
      <x:c r="F5" s="124" t="str">
        <x:v>Stockpile 27; upgrades 18; 4 ovos; 46 figuras; 4 trajes.</x:v>
      </x:c>
      <x:c r="G5" s="124" t="str">
        <x:v>Misturar coleta extensa com speedrun; gastar EP antes das figuras.</x:v>
      </x:c>
      <x:c r="H5" s="124" t="str">
        <x:v>Recruit; 16 S; sub-5h; base limpa e Infinite Rocket liberada.</x:v>
      </x:c>
      <x:c r="I5" s="124" t="str">
        <x:v>https://www.playstationtrophies.org/game/resident-evil-5-ps4/guide/</x:v>
      </x:c>
    </x:row>
    <x:row r="6">
      <x:c r="A6" s="124" t="str">
        <x:v>Etapa 3 — Veteran</x:v>
      </x:c>
      <x:c r="B6" s="124" t="str">
        <x:v>Jogo-base</x:v>
      </x:c>
      <x:c r="C6" s="124" t="str">
        <x:v>Veteran</x:v>
      </x:c>
      <x:c r="D6" s="124" t="str">
        <x:v>Concluir os 16 capítulos e liberar Professional.</x:v>
      </x:c>
      <x:c r="E6" s="124" t="n">
        <x:f>COUNTIF(Cobertura_Rota!$F$4:$F$74,A6)</x:f>
        <x:v>1</x:v>
      </x:c>
      <x:c r="F6" s="124" t="str">
        <x:v>Selos de conclusão por capítulo.</x:v>
      </x:c>
      <x:c r="G6" s="124" t="str">
        <x:v>Entrar no meio de capítulo coop ou deixar capítulos sem selo.</x:v>
      </x:c>
      <x:c r="H6" s="124" t="str">
        <x:v>16/16 em Veteran e Professional disponível.</x:v>
      </x:c>
      <x:c r="I6" s="124" t="str">
        <x:v>https://www.exophase.com/game/resident-evil-5-ps4/trophies/</x:v>
      </x:c>
    </x:row>
    <x:row r="7">
      <x:c r="A7" s="124" t="str">
        <x:v>Etapa 4 — Professional e auditoria da platina</x:v>
      </x:c>
      <x:c r="B7" s="124" t="str">
        <x:v>Jogo-base</x:v>
      </x:c>
      <x:c r="C7" s="124" t="str">
        <x:v>Professional</x:v>
      </x:c>
      <x:c r="D7" s="124" t="str">
        <x:v>Concluir 16 capítulos e fechar 51/51 base.</x:v>
      </x:c>
      <x:c r="E7" s="124" t="n">
        <x:f>COUNTIF(Cobertura_Rota!$F$4:$F$74,A7)</x:f>
        <x:v>2</x:v>
      </x:c>
      <x:c r="F7" s="124" t="str">
        <x:v>Infinite Rocket; coop recomendado; auditoria 51/51.</x:v>
      </x:c>
      <x:c r="G7" s="124" t="str">
        <x:v>IA frágil e capítulos sem registro completo.</x:v>
      </x:c>
      <x:c r="H7" s="124" t="str">
        <x:v>War Hero + platina; DLC permanece separada.</x:v>
      </x:c>
      <x:c r="I7" s="124" t="str">
        <x:v>https://www.exophase.com/game/resident-evil-5-ps4/trophies/</x:v>
      </x:c>
    </x:row>
    <x:row r="8">
      <x:c r="A8" s="124" t="str">
        <x:v>Etapa 5 — Versus</x:v>
      </x:c>
      <x:c r="B8" s="124" t="str">
        <x:v>Versus</x:v>
      </x:c>
      <x:c r="C8" s="124" t="str">
        <x:v>Online; 2 ou 4 contas</x:v>
      </x:c>
      <x:c r="D8" s="124" t="str">
        <x:v>15 vitórias em quatro modos; combos, pontos, personagens e 50 físicos.</x:v>
      </x:c>
      <x:c r="E8" s="124" t="n">
        <x:f>COUNTIF(Cobertura_Rota!$F$4:$F$74,A8)</x:f>
        <x:v>10</x:v>
      </x:c>
      <x:c r="F8" s="124" t="str">
        <x:v>60 vitórias por conta-alvo; 134.000 EP; 4 contas nos modos Team.</x:v>
      </x:c>
      <x:c r="G8" s="124" t="str">
        <x:v>Matchmaking baixo; interpretar 60 partidas como suficiente para todos.</x:v>
      </x:c>
      <x:c r="H8" s="124" t="str">
        <x:v>10/10 troféus de Versus.</x:v>
      </x:c>
      <x:c r="I8" s="124" t="str">
        <x:v>https://www.exophase.com/game/resident-evil-5-ps4/trophies/</x:v>
      </x:c>
    </x:row>
    <x:row r="9">
      <x:c r="A9" s="124" t="str">
        <x:v>Etapa 6 — Lost in Nightmares: objetivos</x:v>
      </x:c>
      <x:c r="B9" s="124" t="str">
        <x:v>Lost in Nightmares</x:v>
      </x:c>
      <x:c r="C9" s="124" t="str">
        <x:v>Amateur</x:v>
      </x:c>
      <x:c r="D9" s="124" t="str">
        <x:v>S, 18 estrelas e dano em Wesker na mesma passagem.</x:v>
      </x:c>
      <x:c r="E9" s="124" t="n">
        <x:f>COUNTIF(Cobertura_Rota!$F$4:$F$74,A9)</x:f>
        <x:v>4</x:v>
      </x:c>
      <x:c r="F9" s="124" t="str">
        <x:v>Checklist 18/18; Chris inicial; Jill após conclusão.</x:v>
      </x:c>
      <x:c r="G9" s="124" t="str">
        <x:v>Encerrar com 17 estrelas; avançar sem cumprir dano em Wesker.</x:v>
      </x:c>
      <x:c r="H9" s="124" t="str">
        <x:v>4 troféus do cenário concluídos.</x:v>
      </x:c>
      <x:c r="I9" s="124" t="str">
        <x:v>https://www.exophase.com/game/resident-evil-5-ps4/trophies/</x:v>
      </x:c>
    </x:row>
    <x:row r="10">
      <x:c r="A10" s="124" t="str">
        <x:v>Etapa 7 — Lost in Nightmares: Veteran e Professional</x:v>
      </x:c>
      <x:c r="B10" s="124" t="str">
        <x:v>Lost in Nightmares</x:v>
      </x:c>
      <x:c r="C10" s="124" t="str">
        <x:v>Veteran → Professional</x:v>
      </x:c>
      <x:c r="D10" s="124" t="str">
        <x:v>Liberar e concluir Professional.</x:v>
      </x:c>
      <x:c r="E10" s="124" t="n">
        <x:f>COUNTIF(Cobertura_Rota!$F$4:$F$74,A10)</x:f>
        <x:v>1</x:v>
      </x:c>
      <x:c r="F10" s="124" t="str">
        <x:v>Duas passagens dedicadas; coop recomendado no Professional.</x:v>
      </x:c>
      <x:c r="G10" s="124" t="str">
        <x:v>Assumir que Professional está liberado sem concluir Veteran.</x:v>
      </x:c>
      <x:c r="H10" s="124" t="str">
        <x:v>Night Terrors; 5/5 no pacote.</x:v>
      </x:c>
      <x:c r="I10" s="124" t="str">
        <x:v>https://www.exophase.com/game/resident-evil-5-ps4/trophies/</x:v>
      </x:c>
    </x:row>
    <x:row r="11">
      <x:c r="A11" s="124" t="str">
        <x:v>Etapa 8 — Desperate Escape: S e 150 eliminações</x:v>
      </x:c>
      <x:c r="B11" s="124" t="str">
        <x:v>Desperate Escape</x:v>
      </x:c>
      <x:c r="C11" s="124" t="str">
        <x:v>Amateur</x:v>
      </x:c>
      <x:c r="D11" s="124" t="str">
        <x:v>Rank S e 150 eliminações pessoais em uma passagem.</x:v>
      </x:c>
      <x:c r="E11" s="124" t="n">
        <x:f>COUNTIF(Cobertura_Rota!$F$4:$F$74,A11)</x:f>
        <x:v>3</x:v>
      </x:c>
      <x:c r="F11" s="124" t="str">
        <x:v>IA sem armas quando possível; jogador aplica golpes finais.</x:v>
      </x:c>
      <x:c r="G11" s="124" t="str">
        <x:v>Contar abates da IA ou somar tentativas.</x:v>
      </x:c>
      <x:c r="H11" s="124" t="str">
        <x:v>Getaway, The Great Escape e Way of the Warrior.</x:v>
      </x:c>
      <x:c r="I11" s="124" t="str">
        <x:v>https://www.exophase.com/game/resident-evil-5-ps4/trophies/</x:v>
      </x:c>
    </x:row>
    <x:row r="12">
      <x:c r="A12" s="124" t="str">
        <x:v>Etapa 9 — Desperate Escape: Agitators, Veteran e Professional</x:v>
      </x:c>
      <x:c r="B12" s="124" t="str">
        <x:v>Desperate Escape</x:v>
      </x:c>
      <x:c r="C12" s="124" t="str">
        <x:v>Veteran → Professional</x:v>
      </x:c>
      <x:c r="D12" s="124" t="str">
        <x:v>Três Agitators em uma passagem Veteran; depois concluir Professional.</x:v>
      </x:c>
      <x:c r="E12" s="124" t="n">
        <x:f>COUNTIF(Cobertura_Rota!$F$4:$F$74,A12)</x:f>
        <x:v>2</x:v>
      </x:c>
      <x:c r="F12" s="124" t="str">
        <x:v>Gatilhos das três áreas; reinício total se um falhar.</x:v>
      </x:c>
      <x:c r="G12" s="124" t="str">
        <x:v>Tentar acumular Agitators entre passagens/checkpoints.</x:v>
      </x:c>
      <x:c r="H12" s="124" t="str">
        <x:v>Shoot the Messenger + Run the Gauntlet; 5/5 no pacote.</x:v>
      </x:c>
      <x:c r="I12" s="124" t="str">
        <x:v>https://gamefaqs.gamespot.com/boards/991006-resident-evil-5-desperate-escape/53869452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1" hidden="0" customWidth="1"/>
    <x:col min="3" max="3" width="20" hidden="0" customWidth="1"/>
    <x:col min="4" max="4" width="28" hidden="0" customWidth="1"/>
    <x:col min="5" max="5" width="30" hidden="0" customWidth="1"/>
    <x:col min="6" max="6" width="38" hidden="0" customWidth="1"/>
    <x:col min="7" max="7" width="30" hidden="0" customWidth="1"/>
    <x:col min="8" max="8" width="38" hidden="0" customWidth="1"/>
    <x:col min="9" max="9" width="32" hidden="0" customWidth="1"/>
    <x:col min="10" max="10" width="10" hidden="0" customWidth="1"/>
  </x:cols>
  <x:sheetData>
    <x:row r="1" ht="28" customHeight="1">
      <x:c r="A1" s="112" t="str">
        <x:v>Cobertura 1:1 — Portão B</x:v>
      </x:c>
      <x:c r="B1" s="112"/>
      <x:c r="C1" s="112"/>
      <x:c r="D1" s="112"/>
      <x:c r="E1" s="112"/>
      <x:c r="F1" s="112"/>
      <x:c r="G1" s="112"/>
      <x:c r="H1" s="112"/>
      <x:c r="I1" s="112"/>
      <x:c r="J1" s="112"/>
    </x:row>
    <x:row r="2" ht="22" customHeight="1">
      <x:c r="A2" s="115" t="str">
        <x:v>Cada troféu possui etapa, campanha, risco e recuperação.</x:v>
      </x:c>
      <x:c r="B2" s="115"/>
      <x:c r="C2" s="115"/>
      <x:c r="D2" s="115"/>
      <x:c r="E2" s="115"/>
      <x:c r="F2" s="115"/>
      <x:c r="G2" s="115"/>
      <x:c r="H2" s="115"/>
      <x:c r="I2" s="115"/>
      <x:c r="J2" s="115"/>
    </x:row>
    <x:row r="3" ht="28" customHeight="1">
      <x:c r="A3" s="121" t="str">
        <x:v>ID</x:v>
      </x:c>
      <x:c r="B3" s="121" t="str">
        <x:v>Troféu</x:v>
      </x:c>
      <x:c r="C3" s="121" t="str">
        <x:v>Pacote</x:v>
      </x:c>
      <x:c r="D3" s="121" t="str">
        <x:v>Categoria</x:v>
      </x:c>
      <x:c r="E3" s="121" t="str">
        <x:v>Campanha final</x:v>
      </x:c>
      <x:c r="F3" s="121" t="str">
        <x:v>Etapa final</x:v>
      </x:c>
      <x:c r="G3" s="121" t="str">
        <x:v>Momento</x:v>
      </x:c>
      <x:c r="H3" s="121" t="str">
        <x:v>Risco</x:v>
      </x:c>
      <x:c r="I3" s="121" t="str">
        <x:v>Recuperação</x:v>
      </x:c>
      <x:c r="J3" s="121" t="str">
        <x:v>Status</x:v>
      </x:c>
    </x:row>
    <x:row r="4">
      <x:c r="A4" s="124" t="str">
        <x:v>001</x:v>
      </x:c>
      <x:c r="B4" s="124" t="str">
        <x:v>RESIDENT EVIL 5 Platinum Trophy</x:v>
      </x:c>
      <x:c r="C4" s="124" t="str">
        <x:v>Jogo-base</x:v>
      </x:c>
      <x:c r="D4" s="124" t="str">
        <x:v>Platina; cobertura</x:v>
      </x:c>
      <x:c r="E4" s="124" t="str">
        <x:v>Campanha 4 — Professional / auditoria</x:v>
      </x:c>
      <x:c r="F4" s="124" t="str">
        <x:v>Etapa 4 — Professional e auditoria da platina</x:v>
      </x:c>
      <x:c r="G4" s="124" t="str">
        <x:v>Após os outros 50 troféus do jogo-base</x:v>
      </x:c>
      <x:c r="H4" s="124" t="str">
        <x:v>Misturar os 20 troféus adicionais à exigência da platina.</x:v>
      </x:c>
      <x:c r="I4" s="124" t="str">
        <x:v>Concluir somente o troféu base faltante.</x:v>
      </x:c>
      <x:c r="J4" s="124" t="str">
        <x:v>OK</x:v>
      </x:c>
    </x:row>
    <x:row r="5">
      <x:c r="A5" s="124" t="str">
        <x:v>002</x:v>
      </x:c>
      <x:c r="B5" s="124" t="str">
        <x:v>Completed Chapter 1 - 1</x:v>
      </x:c>
      <x:c r="C5" s="124" t="str">
        <x:v>Jogo-base</x:v>
      </x:c>
      <x:c r="D5" s="124" t="str">
        <x:v>História; automático; capítulo</x:v>
      </x:c>
      <x:c r="E5" s="124" t="str">
        <x:v>Campanha 1 — Normal</x:v>
      </x:c>
      <x:c r="F5" s="124" t="str">
        <x:v>Etapa 1 — Normal: campanha, emblemas e tesouros</x:v>
      </x:c>
      <x:c r="G5" s="124" t="str">
        <x:v>Fim do capítulo 1 - 1</x:v>
      </x:c>
      <x:c r="H5" s="124" t="str">
        <x:v>Em coop, entrar após o começo pode deixar o registro incompleto em alguns casos.</x:v>
      </x:c>
      <x:c r="I5" s="124" t="str">
        <x:v>Repita apenas 1 - 1 via Chapter Select.</x:v>
      </x:c>
      <x:c r="J5" s="124" t="str">
        <x:v>OK</x:v>
      </x:c>
    </x:row>
    <x:row r="6">
      <x:c r="A6" s="124" t="str">
        <x:v>003</x:v>
      </x:c>
      <x:c r="B6" s="124" t="str">
        <x:v>Completed Chapter 1 - 2</x:v>
      </x:c>
      <x:c r="C6" s="124" t="str">
        <x:v>Jogo-base</x:v>
      </x:c>
      <x:c r="D6" s="124" t="str">
        <x:v>História; automático; capítulo</x:v>
      </x:c>
      <x:c r="E6" s="124" t="str">
        <x:v>Campanha 1 — Normal</x:v>
      </x:c>
      <x:c r="F6" s="124" t="str">
        <x:v>Etapa 1 — Normal: campanha, emblemas e tesouros</x:v>
      </x:c>
      <x:c r="G6" s="124" t="str">
        <x:v>Fim do capítulo 1 - 2</x:v>
      </x:c>
      <x:c r="H6" s="124" t="str">
        <x:v>Em coop, entrar após o começo pode deixar o registro incompleto em alguns casos.</x:v>
      </x:c>
      <x:c r="I6" s="124" t="str">
        <x:v>Repita apenas 1 - 2 via Chapter Select.</x:v>
      </x:c>
      <x:c r="J6" s="124" t="str">
        <x:v>OK</x:v>
      </x:c>
    </x:row>
    <x:row r="7">
      <x:c r="A7" s="124" t="str">
        <x:v>004</x:v>
      </x:c>
      <x:c r="B7" s="124" t="str">
        <x:v>Completed Chapter 2 - 1</x:v>
      </x:c>
      <x:c r="C7" s="124" t="str">
        <x:v>Jogo-base</x:v>
      </x:c>
      <x:c r="D7" s="124" t="str">
        <x:v>História; automático; capítulo</x:v>
      </x:c>
      <x:c r="E7" s="124" t="str">
        <x:v>Campanha 1 — Normal</x:v>
      </x:c>
      <x:c r="F7" s="124" t="str">
        <x:v>Etapa 1 — Normal: campanha, emblemas e tesouros</x:v>
      </x:c>
      <x:c r="G7" s="124" t="str">
        <x:v>Fim do capítulo 2 - 1</x:v>
      </x:c>
      <x:c r="H7" s="124" t="str">
        <x:v>Em coop, entrar após o começo pode deixar o registro incompleto em alguns casos.</x:v>
      </x:c>
      <x:c r="I7" s="124" t="str">
        <x:v>Repita apenas 2 - 1 via Chapter Select.</x:v>
      </x:c>
      <x:c r="J7" s="124" t="str">
        <x:v>OK</x:v>
      </x:c>
    </x:row>
    <x:row r="8">
      <x:c r="A8" s="124" t="str">
        <x:v>005</x:v>
      </x:c>
      <x:c r="B8" s="124" t="str">
        <x:v>Completed Chapter 2 - 2</x:v>
      </x:c>
      <x:c r="C8" s="124" t="str">
        <x:v>Jogo-base</x:v>
      </x:c>
      <x:c r="D8" s="124" t="str">
        <x:v>História; automático; capítulo</x:v>
      </x:c>
      <x:c r="E8" s="124" t="str">
        <x:v>Campanha 1 — Normal</x:v>
      </x:c>
      <x:c r="F8" s="124" t="str">
        <x:v>Etapa 1 — Normal: campanha, emblemas e tesouros</x:v>
      </x:c>
      <x:c r="G8" s="124" t="str">
        <x:v>Fim do capítulo 2 - 2</x:v>
      </x:c>
      <x:c r="H8" s="124" t="str">
        <x:v>Em coop, entrar após o começo pode deixar o registro incompleto em alguns casos.</x:v>
      </x:c>
      <x:c r="I8" s="124" t="str">
        <x:v>Repita apenas 2 - 2 via Chapter Select.</x:v>
      </x:c>
      <x:c r="J8" s="124" t="str">
        <x:v>OK</x:v>
      </x:c>
    </x:row>
    <x:row r="9">
      <x:c r="A9" s="124" t="str">
        <x:v>006</x:v>
      </x:c>
      <x:c r="B9" s="124" t="str">
        <x:v>Completed Chapter 2 - 3</x:v>
      </x:c>
      <x:c r="C9" s="124" t="str">
        <x:v>Jogo-base</x:v>
      </x:c>
      <x:c r="D9" s="124" t="str">
        <x:v>História; automático; capítulo</x:v>
      </x:c>
      <x:c r="E9" s="124" t="str">
        <x:v>Campanha 1 — Normal</x:v>
      </x:c>
      <x:c r="F9" s="124" t="str">
        <x:v>Etapa 1 — Normal: campanha, emblemas e tesouros</x:v>
      </x:c>
      <x:c r="G9" s="124" t="str">
        <x:v>Fim do capítulo 2 - 3</x:v>
      </x:c>
      <x:c r="H9" s="124" t="str">
        <x:v>Em coop, entrar após o começo pode deixar o registro incompleto em alguns casos.</x:v>
      </x:c>
      <x:c r="I9" s="124" t="str">
        <x:v>Repita apenas 2 - 3 via Chapter Select.</x:v>
      </x:c>
      <x:c r="J9" s="124" t="str">
        <x:v>OK</x:v>
      </x:c>
    </x:row>
    <x:row r="10">
      <x:c r="A10" s="124" t="str">
        <x:v>007</x:v>
      </x:c>
      <x:c r="B10" s="124" t="str">
        <x:v>Completed Chapter 3 - 1</x:v>
      </x:c>
      <x:c r="C10" s="124" t="str">
        <x:v>Jogo-base</x:v>
      </x:c>
      <x:c r="D10" s="124" t="str">
        <x:v>História; automático; capítulo</x:v>
      </x:c>
      <x:c r="E10" s="124" t="str">
        <x:v>Campanha 1 — Normal</x:v>
      </x:c>
      <x:c r="F10" s="124" t="str">
        <x:v>Etapa 1 — Normal: campanha, emblemas e tesouros</x:v>
      </x:c>
      <x:c r="G10" s="124" t="str">
        <x:v>Fim do capítulo 3 - 1</x:v>
      </x:c>
      <x:c r="H10" s="124" t="str">
        <x:v>Em coop, entrar após o começo pode deixar o registro incompleto em alguns casos.</x:v>
      </x:c>
      <x:c r="I10" s="124" t="str">
        <x:v>Repita apenas 3 - 1 via Chapter Select.</x:v>
      </x:c>
      <x:c r="J10" s="124" t="str">
        <x:v>OK</x:v>
      </x:c>
    </x:row>
    <x:row r="11">
      <x:c r="A11" s="124" t="str">
        <x:v>008</x:v>
      </x:c>
      <x:c r="B11" s="124" t="str">
        <x:v>Completed Chapter 3 - 2</x:v>
      </x:c>
      <x:c r="C11" s="124" t="str">
        <x:v>Jogo-base</x:v>
      </x:c>
      <x:c r="D11" s="124" t="str">
        <x:v>História; automático; capítulo</x:v>
      </x:c>
      <x:c r="E11" s="124" t="str">
        <x:v>Campanha 1 — Normal</x:v>
      </x:c>
      <x:c r="F11" s="124" t="str">
        <x:v>Etapa 1 — Normal: campanha, emblemas e tesouros</x:v>
      </x:c>
      <x:c r="G11" s="124" t="str">
        <x:v>Fim do capítulo 3 - 2</x:v>
      </x:c>
      <x:c r="H11" s="124" t="str">
        <x:v>Em coop, entrar após o começo pode deixar o registro incompleto em alguns casos.</x:v>
      </x:c>
      <x:c r="I11" s="124" t="str">
        <x:v>Repita apenas 3 - 2 via Chapter Select.</x:v>
      </x:c>
      <x:c r="J11" s="124" t="str">
        <x:v>OK</x:v>
      </x:c>
    </x:row>
    <x:row r="12">
      <x:c r="A12" s="124" t="str">
        <x:v>009</x:v>
      </x:c>
      <x:c r="B12" s="124" t="str">
        <x:v>Completed Chapter 3 - 3</x:v>
      </x:c>
      <x:c r="C12" s="124" t="str">
        <x:v>Jogo-base</x:v>
      </x:c>
      <x:c r="D12" s="124" t="str">
        <x:v>História; automático; capítulo</x:v>
      </x:c>
      <x:c r="E12" s="124" t="str">
        <x:v>Campanha 1 — Normal</x:v>
      </x:c>
      <x:c r="F12" s="124" t="str">
        <x:v>Etapa 1 — Normal: campanha, emblemas e tesouros</x:v>
      </x:c>
      <x:c r="G12" s="124" t="str">
        <x:v>Fim do capítulo 3 - 3</x:v>
      </x:c>
      <x:c r="H12" s="124" t="str">
        <x:v>Em coop, entrar após o começo pode deixar o registro incompleto em alguns casos.</x:v>
      </x:c>
      <x:c r="I12" s="124" t="str">
        <x:v>Repita apenas 3 - 3 via Chapter Select.</x:v>
      </x:c>
      <x:c r="J12" s="124" t="str">
        <x:v>OK</x:v>
      </x:c>
    </x:row>
    <x:row r="13">
      <x:c r="A13" s="124" t="str">
        <x:v>010</x:v>
      </x:c>
      <x:c r="B13" s="124" t="str">
        <x:v>Completed Chapter 4 - 1</x:v>
      </x:c>
      <x:c r="C13" s="124" t="str">
        <x:v>Jogo-base</x:v>
      </x:c>
      <x:c r="D13" s="124" t="str">
        <x:v>História; automático; capítulo</x:v>
      </x:c>
      <x:c r="E13" s="124" t="str">
        <x:v>Campanha 1 — Normal</x:v>
      </x:c>
      <x:c r="F13" s="124" t="str">
        <x:v>Etapa 1 — Normal: campanha, emblemas e tesouros</x:v>
      </x:c>
      <x:c r="G13" s="124" t="str">
        <x:v>Fim do capítulo 4 - 1</x:v>
      </x:c>
      <x:c r="H13" s="124" t="str">
        <x:v>Em coop, entrar após o começo pode deixar o registro incompleto em alguns casos.</x:v>
      </x:c>
      <x:c r="I13" s="124" t="str">
        <x:v>Repita apenas 4 - 1 via Chapter Select.</x:v>
      </x:c>
      <x:c r="J13" s="124" t="str">
        <x:v>OK</x:v>
      </x:c>
    </x:row>
    <x:row r="14">
      <x:c r="A14" s="124" t="str">
        <x:v>011</x:v>
      </x:c>
      <x:c r="B14" s="124" t="str">
        <x:v>Completed Chapter 4 - 2</x:v>
      </x:c>
      <x:c r="C14" s="124" t="str">
        <x:v>Jogo-base</x:v>
      </x:c>
      <x:c r="D14" s="124" t="str">
        <x:v>História; automático; capítulo</x:v>
      </x:c>
      <x:c r="E14" s="124" t="str">
        <x:v>Campanha 1 — Normal</x:v>
      </x:c>
      <x:c r="F14" s="124" t="str">
        <x:v>Etapa 1 — Normal: campanha, emblemas e tesouros</x:v>
      </x:c>
      <x:c r="G14" s="124" t="str">
        <x:v>Fim do capítulo 4 - 2</x:v>
      </x:c>
      <x:c r="H14" s="124" t="str">
        <x:v>Em coop, entrar após o começo pode deixar o registro incompleto em alguns casos.</x:v>
      </x:c>
      <x:c r="I14" s="124" t="str">
        <x:v>Repita apenas 4 - 2 via Chapter Select.</x:v>
      </x:c>
      <x:c r="J14" s="124" t="str">
        <x:v>OK</x:v>
      </x:c>
    </x:row>
    <x:row r="15">
      <x:c r="A15" s="124" t="str">
        <x:v>012</x:v>
      </x:c>
      <x:c r="B15" s="124" t="str">
        <x:v>Completed Chapter 5 - 1</x:v>
      </x:c>
      <x:c r="C15" s="124" t="str">
        <x:v>Jogo-base</x:v>
      </x:c>
      <x:c r="D15" s="124" t="str">
        <x:v>História; automático; capítulo</x:v>
      </x:c>
      <x:c r="E15" s="124" t="str">
        <x:v>Campanha 1 — Normal</x:v>
      </x:c>
      <x:c r="F15" s="124" t="str">
        <x:v>Etapa 1 — Normal: campanha, emblemas e tesouros</x:v>
      </x:c>
      <x:c r="G15" s="124" t="str">
        <x:v>Fim do capítulo 5 - 1</x:v>
      </x:c>
      <x:c r="H15" s="124" t="str">
        <x:v>Em coop, entrar após o começo pode deixar o registro incompleto em alguns casos.</x:v>
      </x:c>
      <x:c r="I15" s="124" t="str">
        <x:v>Repita apenas 5 - 1 via Chapter Select.</x:v>
      </x:c>
      <x:c r="J15" s="124" t="str">
        <x:v>OK</x:v>
      </x:c>
    </x:row>
    <x:row r="16">
      <x:c r="A16" s="124" t="str">
        <x:v>013</x:v>
      </x:c>
      <x:c r="B16" s="124" t="str">
        <x:v>Completed Chapter 5 - 2</x:v>
      </x:c>
      <x:c r="C16" s="124" t="str">
        <x:v>Jogo-base</x:v>
      </x:c>
      <x:c r="D16" s="124" t="str">
        <x:v>História; automático; capítulo</x:v>
      </x:c>
      <x:c r="E16" s="124" t="str">
        <x:v>Campanha 1 — Normal</x:v>
      </x:c>
      <x:c r="F16" s="124" t="str">
        <x:v>Etapa 1 — Normal: campanha, emblemas e tesouros</x:v>
      </x:c>
      <x:c r="G16" s="124" t="str">
        <x:v>Fim do capítulo 5 - 2</x:v>
      </x:c>
      <x:c r="H16" s="124" t="str">
        <x:v>Em coop, entrar após o começo pode deixar o registro incompleto em alguns casos.</x:v>
      </x:c>
      <x:c r="I16" s="124" t="str">
        <x:v>Repita apenas 5 - 2 via Chapter Select.</x:v>
      </x:c>
      <x:c r="J16" s="124" t="str">
        <x:v>OK</x:v>
      </x:c>
    </x:row>
    <x:row r="17">
      <x:c r="A17" s="124" t="str">
        <x:v>014</x:v>
      </x:c>
      <x:c r="B17" s="124" t="str">
        <x:v>Completed Chapter 5 - 3</x:v>
      </x:c>
      <x:c r="C17" s="124" t="str">
        <x:v>Jogo-base</x:v>
      </x:c>
      <x:c r="D17" s="124" t="str">
        <x:v>História; automático; capítulo</x:v>
      </x:c>
      <x:c r="E17" s="124" t="str">
        <x:v>Campanha 1 — Normal</x:v>
      </x:c>
      <x:c r="F17" s="124" t="str">
        <x:v>Etapa 1 — Normal: campanha, emblemas e tesouros</x:v>
      </x:c>
      <x:c r="G17" s="124" t="str">
        <x:v>Fim do capítulo 5 - 3</x:v>
      </x:c>
      <x:c r="H17" s="124" t="str">
        <x:v>Em coop, entrar após o começo pode deixar o registro incompleto em alguns casos.</x:v>
      </x:c>
      <x:c r="I17" s="124" t="str">
        <x:v>Repita apenas 5 - 3 via Chapter Select.</x:v>
      </x:c>
      <x:c r="J17" s="124" t="str">
        <x:v>OK</x:v>
      </x:c>
    </x:row>
    <x:row r="18">
      <x:c r="A18" s="124" t="str">
        <x:v>015</x:v>
      </x:c>
      <x:c r="B18" s="124" t="str">
        <x:v>Completed Chapter 6 - 1</x:v>
      </x:c>
      <x:c r="C18" s="124" t="str">
        <x:v>Jogo-base</x:v>
      </x:c>
      <x:c r="D18" s="124" t="str">
        <x:v>História; automático; capítulo</x:v>
      </x:c>
      <x:c r="E18" s="124" t="str">
        <x:v>Campanha 1 — Normal</x:v>
      </x:c>
      <x:c r="F18" s="124" t="str">
        <x:v>Etapa 1 — Normal: campanha, emblemas e tesouros</x:v>
      </x:c>
      <x:c r="G18" s="124" t="str">
        <x:v>Fim do capítulo 6 - 1</x:v>
      </x:c>
      <x:c r="H18" s="124" t="str">
        <x:v>Em coop, entrar após o começo pode deixar o registro incompleto em alguns casos.</x:v>
      </x:c>
      <x:c r="I18" s="124" t="str">
        <x:v>Repita apenas 6 - 1 via Chapter Select.</x:v>
      </x:c>
      <x:c r="J18" s="124" t="str">
        <x:v>OK</x:v>
      </x:c>
    </x:row>
    <x:row r="19">
      <x:c r="A19" s="124" t="str">
        <x:v>016</x:v>
      </x:c>
      <x:c r="B19" s="124" t="str">
        <x:v>Completed Chapter 6 - 2</x:v>
      </x:c>
      <x:c r="C19" s="124" t="str">
        <x:v>Jogo-base</x:v>
      </x:c>
      <x:c r="D19" s="124" t="str">
        <x:v>História; automático; capítulo</x:v>
      </x:c>
      <x:c r="E19" s="124" t="str">
        <x:v>Campanha 1 — Normal</x:v>
      </x:c>
      <x:c r="F19" s="124" t="str">
        <x:v>Etapa 1 — Normal: campanha, emblemas e tesouros</x:v>
      </x:c>
      <x:c r="G19" s="124" t="str">
        <x:v>Fim do capítulo 6 - 2</x:v>
      </x:c>
      <x:c r="H19" s="124" t="str">
        <x:v>Em coop, entrar após o começo pode deixar o registro incompleto em alguns casos.</x:v>
      </x:c>
      <x:c r="I19" s="124" t="str">
        <x:v>Repita apenas 6 - 2 via Chapter Select.</x:v>
      </x:c>
      <x:c r="J19" s="124" t="str">
        <x:v>OK</x:v>
      </x:c>
    </x:row>
    <x:row r="20">
      <x:c r="A20" s="124" t="str">
        <x:v>017</x:v>
      </x:c>
      <x:c r="B20" s="124" t="str">
        <x:v>Completed Chapter 6 - 3</x:v>
      </x:c>
      <x:c r="C20" s="124" t="str">
        <x:v>Jogo-base</x:v>
      </x:c>
      <x:c r="D20" s="124" t="str">
        <x:v>História; automático; capítulo</x:v>
      </x:c>
      <x:c r="E20" s="124" t="str">
        <x:v>Campanha 1 — Normal</x:v>
      </x:c>
      <x:c r="F20" s="124" t="str">
        <x:v>Etapa 1 — Normal: campanha, emblemas e tesouros</x:v>
      </x:c>
      <x:c r="G20" s="124" t="str">
        <x:v>Fim do capítulo 6 - 3</x:v>
      </x:c>
      <x:c r="H20" s="124" t="str">
        <x:v>Em coop, entrar após o começo pode deixar o registro incompleto em alguns casos.</x:v>
      </x:c>
      <x:c r="I20" s="124" t="str">
        <x:v>Repita apenas 6 - 3 via Chapter Select.</x:v>
      </x:c>
      <x:c r="J20" s="124" t="str">
        <x:v>OK</x:v>
      </x:c>
    </x:row>
    <x:row r="21">
      <x:c r="A21" s="124" t="str">
        <x:v>018</x:v>
      </x:c>
      <x:c r="B21" s="124" t="str">
        <x:v>Recruit</x:v>
      </x:c>
      <x:c r="C21" s="124" t="str">
        <x:v>Jogo-base</x:v>
      </x:c>
      <x:c r="D21" s="124" t="str">
        <x:v>Dificuldade; campanha</x:v>
      </x:c>
      <x:c r="E21" s="124" t="str">
        <x:v>Campanha 2 — Amateur / Chapter Select</x:v>
      </x:c>
      <x:c r="F21" s="124" t="str">
        <x:v>Etapa 2 — Amateur: rank S, sub-5h e limpeza base</x:v>
      </x:c>
      <x:c r="G21" s="124" t="str">
        <x:v>Após registrar os 16 capítulos em Amateur ou superior</x:v>
      </x:c>
      <x:c r="H21" s="124" t="str">
        <x:v>Um capítulo ficar sem registro por entrada no meio de sessão coop.</x:v>
      </x:c>
      <x:c r="I21" s="124" t="str">
        <x:v>Repita apenas o capítulo ausente.</x:v>
      </x:c>
      <x:c r="J21" s="124" t="str">
        <x:v>OK</x:v>
      </x:c>
    </x:row>
    <x:row r="22">
      <x:c r="A22" s="124" t="str">
        <x:v>019</x:v>
      </x:c>
      <x:c r="B22" s="124" t="str">
        <x:v>Soldier</x:v>
      </x:c>
      <x:c r="C22" s="124" t="str">
        <x:v>Jogo-base</x:v>
      </x:c>
      <x:c r="D22" s="124" t="str">
        <x:v>Dificuldade; campanha</x:v>
      </x:c>
      <x:c r="E22" s="124" t="str">
        <x:v>Campanha 1 — Normal</x:v>
      </x:c>
      <x:c r="F22" s="124" t="str">
        <x:v>Etapa 1 — Normal: campanha, emblemas e tesouros</x:v>
      </x:c>
      <x:c r="G22" s="124" t="str">
        <x:v>Após 6-3 no Normal</x:v>
      </x:c>
      <x:c r="H22" s="124" t="str">
        <x:v>Capítulo sem crédito em coop ao entrar após o início.</x:v>
      </x:c>
      <x:c r="I22" s="124" t="str">
        <x:v>Repita o capítulo faltante via Chapter Select.</x:v>
      </x:c>
      <x:c r="J22" s="124" t="str">
        <x:v>OK</x:v>
      </x:c>
    </x:row>
    <x:row r="23">
      <x:c r="A23" s="124" t="str">
        <x:v>020</x:v>
      </x:c>
      <x:c r="B23" s="124" t="str">
        <x:v>Veteran</x:v>
      </x:c>
      <x:c r="C23" s="124" t="str">
        <x:v>Jogo-base</x:v>
      </x:c>
      <x:c r="D23" s="124" t="str">
        <x:v>Dificuldade; campanha</x:v>
      </x:c>
      <x:c r="E23" s="124" t="str">
        <x:v>Campanha 3 — Veteran</x:v>
      </x:c>
      <x:c r="F23" s="124" t="str">
        <x:v>Etapa 3 — Veteran</x:v>
      </x:c>
      <x:c r="G23" s="124" t="str">
        <x:v>Após 6-3 no Veteran</x:v>
      </x:c>
      <x:c r="H23" s="124" t="str">
        <x:v>Crédito incompleto por capítulo em coop.</x:v>
      </x:c>
      <x:c r="I23" s="124" t="str">
        <x:v>Repita somente o capítulo sem medalha Veteran.</x:v>
      </x:c>
      <x:c r="J23" s="124" t="str">
        <x:v>OK</x:v>
      </x:c>
    </x:row>
    <x:row r="24">
      <x:c r="A24" s="124" t="str">
        <x:v>021</x:v>
      </x:c>
      <x:c r="B24" s="124" t="str">
        <x:v>War Hero</x:v>
      </x:c>
      <x:c r="C24" s="124" t="str">
        <x:v>Jogo-base</x:v>
      </x:c>
      <x:c r="D24" s="124" t="str">
        <x:v>Dificuldade; campanha; coop opcional</x:v>
      </x:c>
      <x:c r="E24" s="124" t="str">
        <x:v>Campanha 4 — Professional / auditoria</x:v>
      </x:c>
      <x:c r="F24" s="124" t="str">
        <x:v>Etapa 4 — Professional e auditoria da platina</x:v>
      </x:c>
      <x:c r="G24" s="124" t="str">
        <x:v>Após registrar 16/16 em Professional</x:v>
      </x:c>
      <x:c r="H24" s="124" t="str">
        <x:v>Entrar no meio de capítulo e não receber crédito; IA morrer quase instantaneamente.</x:v>
      </x:c>
      <x:c r="I24" s="124" t="str">
        <x:v>Repita apenas capítulos sem registro.</x:v>
      </x:c>
      <x:c r="J24" s="124" t="str">
        <x:v>OK</x:v>
      </x:c>
    </x:row>
    <x:row r="25">
      <x:c r="A25" s="124" t="str">
        <x:v>022</x:v>
      </x:c>
      <x:c r="B25" s="124" t="str">
        <x:v>Egg Hunt</x:v>
      </x:c>
      <x:c r="C25" s="124" t="str">
        <x:v>Jogo-base</x:v>
      </x:c>
      <x:c r="D25" s="124" t="str">
        <x:v>Coletável; inventário</x:v>
      </x:c>
      <x:c r="E25" s="124" t="str">
        <x:v>Campanha 2 — Amateur / Chapter Select</x:v>
      </x:c>
      <x:c r="F25" s="124" t="str">
        <x:v>Etapa 2 — Amateur: rank S, sub-5h e limpeza base</x:v>
      </x:c>
      <x:c r="G25" s="124" t="str">
        <x:v>Após obter White, Brown, Gold e Rotten Egg</x:v>
      </x:c>
      <x:c r="H25" s="124" t="str">
        <x:v>Vender/usar o único exemplar, sobretudo Rotten ou Gold.</x:v>
      </x:c>
      <x:c r="I25" s="124" t="str">
        <x:v>Refaça áreas com galinhas ou farms de Majini para recuperar o tipo faltante.</x:v>
      </x:c>
      <x:c r="J25" s="124" t="str">
        <x:v>OK</x:v>
      </x:c>
    </x:row>
    <x:row r="26">
      <x:c r="A26" s="124" t="str">
        <x:v>023</x:v>
      </x:c>
      <x:c r="B26" s="124" t="str">
        <x:v>All Dressed Up</x:v>
      </x:c>
      <x:c r="C26" s="124" t="str">
        <x:v>Jogo-base</x:v>
      </x:c>
      <x:c r="D26" s="124" t="str">
        <x:v>Inventário; Bonus Features; coletável</x:v>
      </x:c>
      <x:c r="E26" s="124" t="str">
        <x:v>Campanha 2 — Amateur / Chapter Select</x:v>
      </x:c>
      <x:c r="F26" s="124" t="str">
        <x:v>Etapa 2 — Amateur: rank S, sub-5h e limpeza base</x:v>
      </x:c>
      <x:c r="G26" s="124" t="str">
        <x:v>Após concluir a campanha e obter 30 emblemas</x:v>
      </x:c>
      <x:c r="H26" s="124" t="str">
        <x:v>Contar os quatro trajes DLC como requisito.</x:v>
      </x:c>
      <x:c r="I26" s="124" t="str">
        <x:v>Colete os emblemas faltantes e resgate o traje bloqueado.</x:v>
      </x:c>
      <x:c r="J26" s="124" t="str">
        <x:v>OK</x:v>
      </x:c>
    </x:row>
    <x:row r="27">
      <x:c r="A27" s="124" t="str">
        <x:v>024</x:v>
      </x:c>
      <x:c r="B27" s="124" t="str">
        <x:v>Stockpile</x:v>
      </x:c>
      <x:c r="C27" s="124" t="str">
        <x:v>Jogo-base</x:v>
      </x:c>
      <x:c r="D27" s="124" t="str">
        <x:v>Armas; inventário; economia</x:v>
      </x:c>
      <x:c r="E27" s="124" t="str">
        <x:v>Campanha 2 — Amateur / Chapter Select</x:v>
      </x:c>
      <x:c r="F27" s="124" t="str">
        <x:v>Etapa 2 — Amateur: rank S, sub-5h e limpeza base</x:v>
      </x:c>
      <x:c r="G27" s="124" t="str">
        <x:v>Depois de liberar as armas especiais</x:v>
      </x:c>
      <x:c r="H27" s="124" t="str">
        <x:v>Vender uma arma-base ou especial antes da checagem.</x:v>
      </x:c>
      <x:c r="I27" s="124" t="str">
        <x:v>Recompre itens de loja; para especiais, refaça a cadeia de upgrade/desbloqueio.</x:v>
      </x:c>
      <x:c r="J27" s="124" t="str">
        <x:v>OK</x:v>
      </x:c>
    </x:row>
    <x:row r="28">
      <x:c r="A28" s="124" t="str">
        <x:v>025</x:v>
      </x:c>
      <x:c r="B28" s="124" t="str">
        <x:v>Take It to the Max</x:v>
      </x:c>
      <x:c r="C28" s="124" t="str">
        <x:v>Jogo-base</x:v>
      </x:c>
      <x:c r="D28" s="124" t="str">
        <x:v>Upgrades; economia; farm</x:v>
      </x:c>
      <x:c r="E28" s="124" t="str">
        <x:v>Campanha 2 — Amateur / Chapter Select</x:v>
      </x:c>
      <x:c r="F28" s="124" t="str">
        <x:v>Etapa 2 — Amateur: rank S, sub-5h e limpeza base</x:v>
      </x:c>
      <x:c r="G28" s="124" t="str">
        <x:v>Pós-jogo, após concentrar o farm de dinheiro</x:v>
      </x:c>
      <x:c r="H28" s="124" t="str">
        <x:v>Gastar dinheiro em compras não essenciais e aumentar o farm.</x:v>
      </x:c>
      <x:c r="I28" s="124" t="str">
        <x:v>Farm de dinheiro/tesouros via Chapter Select; progresso de upgrade permanece.</x:v>
      </x:c>
      <x:c r="J28" s="124" t="str">
        <x:v>OK</x:v>
      </x:c>
    </x:row>
    <x:row r="29">
      <x:c r="A29" s="124" t="str">
        <x:v>026</x:v>
      </x:c>
      <x:c r="B29" s="124" t="str">
        <x:v>They Belong in a Museum</x:v>
      </x:c>
      <x:c r="C29" s="124" t="str">
        <x:v>Jogo-base</x:v>
      </x:c>
      <x:c r="D29" s="124" t="str">
        <x:v>Coletável; tesouros; economia</x:v>
      </x:c>
      <x:c r="E29" s="124" t="str">
        <x:v>Campanha 1 — Normal</x:v>
      </x:c>
      <x:c r="F29" s="124" t="str">
        <x:v>Etapa 1 — Normal: campanha, emblemas e tesouros</x:v>
      </x:c>
      <x:c r="G29" s="124" t="str">
        <x:v>Ao registrar o 50º tipo distinto</x:v>
      </x:c>
      <x:c r="H29" s="124" t="str">
        <x:v>Confundir Gold (Small/Large) com tesouro; esquecer Heart of Africa.</x:v>
      </x:c>
      <x:c r="I29" s="124" t="str">
        <x:v>Use Chapter Select no capítulo do tesouro faltante.</x:v>
      </x:c>
      <x:c r="J29" s="124" t="str">
        <x:v>OK</x:v>
      </x:c>
    </x:row>
    <x:row r="30">
      <x:c r="A30" s="124" t="str">
        <x:v>027</x:v>
      </x:c>
      <x:c r="B30" s="124" t="str">
        <x:v>Badge of Honor</x:v>
      </x:c>
      <x:c r="C30" s="124" t="str">
        <x:v>Jogo-base</x:v>
      </x:c>
      <x:c r="D30" s="124" t="str">
        <x:v>Coletável; capítulo</x:v>
      </x:c>
      <x:c r="E30" s="124" t="str">
        <x:v>Campanha 1 — Normal</x:v>
      </x:c>
      <x:c r="F30" s="124" t="str">
        <x:v>Etapa 1 — Normal: campanha, emblemas e tesouros</x:v>
      </x:c>
      <x:c r="G30" s="124" t="str">
        <x:v>Capítulos 1-2 a 6-1</x:v>
      </x:c>
      <x:c r="H30" s="124" t="str">
        <x:v>Sair antes do registro/autosave ou pular segmento sem retorno.</x:v>
      </x:c>
      <x:c r="I30" s="124" t="str">
        <x:v>Repita somente o capítulo correspondente via Chapter Select.</x:v>
      </x:c>
      <x:c r="J30" s="124" t="str">
        <x:v>OK</x:v>
      </x:c>
    </x:row>
    <x:row r="31">
      <x:c r="A31" s="124" t="str">
        <x:v>028</x:v>
      </x:c>
      <x:c r="B31" s="124" t="str">
        <x:v>They're ACTION Figures!</x:v>
      </x:c>
      <x:c r="C31" s="124" t="str">
        <x:v>Jogo-base</x:v>
      </x:c>
      <x:c r="D31" s="124" t="str">
        <x:v>Bonus Features; rank; coletável; economia</x:v>
      </x:c>
      <x:c r="E31" s="124" t="str">
        <x:v>Campanha 2 — Amateur / Chapter Select</x:v>
      </x:c>
      <x:c r="F31" s="124" t="str">
        <x:v>Etapa 2 — Amateur: rank S, sub-5h e limpeza base</x:v>
      </x:c>
      <x:c r="G31" s="124" t="str">
        <x:v>Após campanha, 30 emblemas e rank S nos 16 capítulos</x:v>
      </x:c>
      <x:c r="H31" s="124" t="str">
        <x:v>Gastar Exchange Points em munição infinita/Versus antes das figuras; contar figuras DLC.</x:v>
      </x:c>
      <x:c r="I31" s="124" t="str">
        <x:v>Refaça capítulos em Amateur para S e acumule EP por ranks.</x:v>
      </x:c>
      <x:c r="J31" s="124" t="str">
        <x:v>OK</x:v>
      </x:c>
    </x:row>
    <x:row r="32">
      <x:c r="A32" s="124" t="str">
        <x:v>029</x:v>
      </x:c>
      <x:c r="B32" s="124" t="str">
        <x:v>A Friend in Need</x:v>
      </x:c>
      <x:c r="C32" s="124" t="str">
        <x:v>Jogo-base</x:v>
      </x:c>
      <x:c r="D32" s="124" t="str">
        <x:v>Coop; cumulativo; campanha</x:v>
      </x:c>
      <x:c r="E32" s="124" t="str">
        <x:v>Campanha 1 — Normal</x:v>
      </x:c>
      <x:c r="F32" s="124" t="str">
        <x:v>Etapa 1 — Normal: campanha, emblemas e tesouros</x:v>
      </x:c>
      <x:c r="G32" s="124" t="str">
        <x:v>Durante qualquer capítulo</x:v>
      </x:c>
      <x:c r="H32" s="124" t="str">
        <x:v>O parceiro entrar diretamente em DYING, que conta para outro troféu.</x:v>
      </x:c>
      <x:c r="I32" s="124" t="str">
        <x:v>Repita em qualquer capítulo.</x:v>
      </x:c>
      <x:c r="J32" s="124" t="str">
        <x:v>OK</x:v>
      </x:c>
    </x:row>
    <x:row r="33">
      <x:c r="A33" s="124" t="str">
        <x:v>030</x:v>
      </x:c>
      <x:c r="B33" s="124" t="str">
        <x:v>Lifeguard</x:v>
      </x:c>
      <x:c r="C33" s="124" t="str">
        <x:v>Jogo-base</x:v>
      </x:c>
      <x:c r="D33" s="124" t="str">
        <x:v>Coop; cumulativo; campanha</x:v>
      </x:c>
      <x:c r="E33" s="124" t="str">
        <x:v>Campanha 1 — Normal</x:v>
      </x:c>
      <x:c r="F33" s="124" t="str">
        <x:v>Etapa 1 — Normal: campanha, emblemas e tesouros</x:v>
      </x:c>
      <x:c r="G33" s="124" t="str">
        <x:v>Durante qualquer capítulo</x:v>
      </x:c>
      <x:c r="H33" s="124" t="str">
        <x:v>Parceiro morrer antes da ajuda.</x:v>
      </x:c>
      <x:c r="I33" s="124" t="str">
        <x:v>Repita em qualquer capítulo.</x:v>
      </x:c>
      <x:c r="J33" s="124" t="str">
        <x:v>OK</x:v>
      </x:c>
    </x:row>
    <x:row r="34">
      <x:c r="A34" s="124" t="str">
        <x:v>031</x:v>
      </x:c>
      <x:c r="B34" s="124" t="str">
        <x:v>Exploding Heads</x:v>
      </x:c>
      <x:c r="C34" s="124" t="str">
        <x:v>Jogo-base</x:v>
      </x:c>
      <x:c r="D34" s="124" t="str">
        <x:v>Combate; cumulativo</x:v>
      </x:c>
      <x:c r="E34" s="124" t="str">
        <x:v>Campanha 1 — Normal</x:v>
      </x:c>
      <x:c r="F34" s="124" t="str">
        <x:v>Etapa 1 — Normal: campanha, emblemas e tesouros</x:v>
      </x:c>
      <x:c r="G34" s="124" t="str">
        <x:v>Qualquer capítulo</x:v>
      </x:c>
      <x:c r="H34" s="124" t="str">
        <x:v>Nenhum risco permanente.</x:v>
      </x:c>
      <x:c r="I34" s="124" t="str">
        <x:v>Farm em 1-1/1-2 no Amateur.</x:v>
      </x:c>
      <x:c r="J34" s="124" t="str">
        <x:v>OK</x:v>
      </x:c>
    </x:row>
    <x:row r="35">
      <x:c r="A35" s="124" t="str">
        <x:v>032</x:v>
      </x:c>
      <x:c r="B35" s="124" t="str">
        <x:v>A Cut Above</x:v>
      </x:c>
      <x:c r="C35" s="124" t="str">
        <x:v>Jogo-base</x:v>
      </x:c>
      <x:c r="D35" s="124" t="str">
        <x:v>Combate; cumulativo</x:v>
      </x:c>
      <x:c r="E35" s="124" t="str">
        <x:v>Campanha 1 — Normal</x:v>
      </x:c>
      <x:c r="F35" s="124" t="str">
        <x:v>Etapa 1 — Normal: campanha, emblemas e tesouros</x:v>
      </x:c>
      <x:c r="G35" s="124" t="str">
        <x:v>Início da campanha</x:v>
      </x:c>
      <x:c r="H35" s="124" t="str">
        <x:v>IA roubar as mortes.</x:v>
      </x:c>
      <x:c r="I35" s="124" t="str">
        <x:v>Repita 1-1.</x:v>
      </x:c>
      <x:c r="J35" s="124" t="str">
        <x:v>OK</x:v>
      </x:c>
    </x:row>
    <x:row r="36">
      <x:c r="A36" s="124" t="str">
        <x:v>033</x:v>
      </x:c>
      <x:c r="B36" s="124" t="str">
        <x:v>Cattle Prod</x:v>
      </x:c>
      <x:c r="C36" s="124" t="str">
        <x:v>Jogo-base</x:v>
      </x:c>
      <x:c r="D36" s="124" t="str">
        <x:v>Combate; arma; cumulativo</x:v>
      </x:c>
      <x:c r="E36" s="124" t="str">
        <x:v>Campanha 2 — Amateur / Chapter Select</x:v>
      </x:c>
      <x:c r="F36" s="124" t="str">
        <x:v>Etapa 2 — Amateur: rank S, sub-5h e limpeza base</x:v>
      </x:c>
      <x:c r="G36" s="124" t="str">
        <x:v>Após comprar Stun Rod</x:v>
      </x:c>
      <x:c r="H36" s="124" t="str">
        <x:v>Dano alto recebido em dificuldade maior.</x:v>
      </x:c>
      <x:c r="I36" s="124" t="str">
        <x:v>Continue o contador em qualquer capítulo.</x:v>
      </x:c>
      <x:c r="J36" s="124" t="str">
        <x:v>OK</x:v>
      </x:c>
    </x:row>
    <x:row r="37">
      <x:c r="A37" s="124" t="str">
        <x:v>034</x:v>
      </x:c>
      <x:c r="B37" s="124" t="str">
        <x:v>Crowd Control</x:v>
      </x:c>
      <x:c r="C37" s="124" t="str">
        <x:v>Jogo-base</x:v>
      </x:c>
      <x:c r="D37" s="124" t="str">
        <x:v>Combate; arma desbloqueada; personagem</x:v>
      </x:c>
      <x:c r="E37" s="124" t="str">
        <x:v>Campanha 2 — Amateur / Chapter Select</x:v>
      </x:c>
      <x:c r="F37" s="124" t="str">
        <x:v>Etapa 2 — Amateur: rank S, sub-5h e limpeza base</x:v>
      </x:c>
      <x:c r="G37" s="124" t="str">
        <x:v>Após campanha e VZ61 maximizada</x:v>
      </x:c>
      <x:c r="H37" s="124" t="str">
        <x:v>Tentar com Sheva ou antes do desbloqueio.</x:v>
      </x:c>
      <x:c r="I37" s="124" t="str">
        <x:v>Repita 1-1 em Amateur.</x:v>
      </x:c>
      <x:c r="J37" s="124" t="str">
        <x:v>OK</x:v>
      </x:c>
    </x:row>
    <x:row r="38">
      <x:c r="A38" s="124" t="str">
        <x:v>035</x:v>
      </x:c>
      <x:c r="B38" s="124" t="str">
        <x:v>Bull's-eye</x:v>
      </x:c>
      <x:c r="C38" s="124" t="str">
        <x:v>Jogo-base</x:v>
      </x:c>
      <x:c r="D38" s="124" t="str">
        <x:v>Combate; arma desbloqueada; personagem</x:v>
      </x:c>
      <x:c r="E38" s="124" t="str">
        <x:v>Campanha 2 — Amateur / Chapter Select</x:v>
      </x:c>
      <x:c r="F38" s="124" t="str">
        <x:v>Etapa 2 — Amateur: rank S, sub-5h e limpeza base</x:v>
      </x:c>
      <x:c r="G38" s="124" t="str">
        <x:v>Após campanha e S75 maximizada</x:v>
      </x:c>
      <x:c r="H38" s="124" t="str">
        <x:v>Tentar com Chris ou antes do desbloqueio.</x:v>
      </x:c>
      <x:c r="I38" s="124" t="str">
        <x:v>Repita 1-1 em Amateur.</x:v>
      </x:c>
      <x:c r="J38" s="124" t="str">
        <x:v>OK</x:v>
      </x:c>
    </x:row>
    <x:row r="39">
      <x:c r="A39" s="124" t="str">
        <x:v>036</x:v>
      </x:c>
      <x:c r="B39" s="124" t="str">
        <x:v>Get Physical</x:v>
      </x:c>
      <x:c r="C39" s="124" t="str">
        <x:v>Jogo-base</x:v>
      </x:c>
      <x:c r="D39" s="124" t="str">
        <x:v>Combate; cumulativo</x:v>
      </x:c>
      <x:c r="E39" s="124" t="str">
        <x:v>Campanha 1 — Normal</x:v>
      </x:c>
      <x:c r="F39" s="124" t="str">
        <x:v>Etapa 1 — Normal: campanha, emblemas e tesouros</x:v>
      </x:c>
      <x:c r="G39" s="124" t="str">
        <x:v>Qualquer capítulo</x:v>
      </x:c>
      <x:c r="H39" s="124" t="str">
        <x:v>Arma ou parceiro dar o golpe final.</x:v>
      </x:c>
      <x:c r="I39" s="124" t="str">
        <x:v>Continue em qualquer capítulo.</x:v>
      </x:c>
      <x:c r="J39" s="124" t="str">
        <x:v>OK</x:v>
      </x:c>
    </x:row>
    <x:row r="40">
      <x:c r="A40" s="124" t="str">
        <x:v>037</x:v>
      </x:c>
      <x:c r="B40" s="124" t="str">
        <x:v>The Works</x:v>
      </x:c>
      <x:c r="C40" s="124" t="str">
        <x:v>Jogo-base</x:v>
      </x:c>
      <x:c r="D40" s="124" t="str">
        <x:v>Combate; coop; combo</x:v>
      </x:c>
      <x:c r="E40" s="124" t="str">
        <x:v>Campanha 2 — Amateur / Chapter Select</x:v>
      </x:c>
      <x:c r="F40" s="124" t="str">
        <x:v>Etapa 2 — Amateur: rank S, sub-5h e limpeza base</x:v>
      </x:c>
      <x:c r="G40" s="124" t="str">
        <x:v>Capítulo 2-1, Big Man Majini</x:v>
      </x:c>
      <x:c r="H40" s="124" t="str">
        <x:v>Inimigo morrer antes do terceiro golpe ou IA não se posicionar.</x:v>
      </x:c>
      <x:c r="I40" s="124" t="str">
        <x:v>Reinicie o checkpoint ou repita 2-1.</x:v>
      </x:c>
      <x:c r="J40" s="124" t="str">
        <x:v>OK</x:v>
      </x:c>
    </x:row>
    <x:row r="41">
      <x:c r="A41" s="124" t="str">
        <x:v>038</x:v>
      </x:c>
      <x:c r="B41" s="124" t="str">
        <x:v>Lead Aspirin</x:v>
      </x:c>
      <x:c r="C41" s="124" t="str">
        <x:v>Jogo-base</x:v>
      </x:c>
      <x:c r="D41" s="124" t="str">
        <x:v>Combate; capítulo; timing</x:v>
      </x:c>
      <x:c r="E41" s="124" t="str">
        <x:v>Campanha 2 — Amateur / Chapter Select</x:v>
      </x:c>
      <x:c r="F41" s="124" t="str">
        <x:v>Etapa 2 — Amateur: rank S, sub-5h e limpeza base</x:v>
      </x:c>
      <x:c r="G41" s="124" t="str">
        <x:v>Capítulo 3-2, salto roteirizado na refinaria</x:v>
      </x:c>
      <x:c r="H41" s="124" t="str">
        <x:v>Matar antes do salto ou acertar o corpo.</x:v>
      </x:c>
      <x:c r="I41" s="124" t="str">
        <x:v>Reinicie checkpoint/capítulo.</x:v>
      </x:c>
      <x:c r="J41" s="124" t="str">
        <x:v>OK</x:v>
      </x:c>
    </x:row>
    <x:row r="42">
      <x:c r="A42" s="124" t="str">
        <x:v>039</x:v>
      </x:c>
      <x:c r="B42" s="124" t="str">
        <x:v>Fireworks</x:v>
      </x:c>
      <x:c r="C42" s="124" t="str">
        <x:v>Jogo-base</x:v>
      </x:c>
      <x:c r="D42" s="124" t="str">
        <x:v>Combate; situacional</x:v>
      </x:c>
      <x:c r="E42" s="124" t="str">
        <x:v>Campanha 1 — Normal</x:v>
      </x:c>
      <x:c r="F42" s="124" t="str">
        <x:v>Etapa 1 — Normal: campanha, emblemas e tesouros</x:v>
      </x:c>
      <x:c r="G42" s="124" t="str">
        <x:v>Capítulos com Majini explosivos</x:v>
      </x:c>
      <x:c r="H42" s="124" t="str">
        <x:v>Matar o inimigo antes de atingir o explosivo.</x:v>
      </x:c>
      <x:c r="I42" s="124" t="str">
        <x:v>Repita encontro.</x:v>
      </x:c>
      <x:c r="J42" s="124" t="str">
        <x:v>OK</x:v>
      </x:c>
    </x:row>
    <x:row r="43">
      <x:c r="A43" s="124" t="str">
        <x:v>040</x:v>
      </x:c>
      <x:c r="B43" s="124" t="str">
        <x:v>Be the Knife</x:v>
      </x:c>
      <x:c r="C43" s="124" t="str">
        <x:v>Jogo-base</x:v>
      </x:c>
      <x:c r="D43" s="124" t="str">
        <x:v>Combate; timing</x:v>
      </x:c>
      <x:c r="E43" s="124" t="str">
        <x:v>Campanha 2 — Amateur / Chapter Select</x:v>
      </x:c>
      <x:c r="F43" s="124" t="str">
        <x:v>Etapa 2 — Amateur: rank S, sub-5h e limpeza base</x:v>
      </x:c>
      <x:c r="G43" s="124" t="str">
        <x:v>Capítulo 2-1/2-2 contra arqueiro</x:v>
      </x:c>
      <x:c r="H43" s="124" t="str">
        <x:v>Ser atingido ou matar o arqueiro.</x:v>
      </x:c>
      <x:c r="I43" s="124" t="str">
        <x:v>Reinicie checkpoint.</x:v>
      </x:c>
      <x:c r="J43" s="124" t="str">
        <x:v>OK</x:v>
      </x:c>
    </x:row>
    <x:row r="44">
      <x:c r="A44" s="124" t="str">
        <x:v>041</x:v>
      </x:c>
      <x:c r="B44" s="124" t="str">
        <x:v>Meat Shower</x:v>
      </x:c>
      <x:c r="C44" s="124" t="str">
        <x:v>Jogo-base</x:v>
      </x:c>
      <x:c r="D44" s="124" t="str">
        <x:v>Combate; explosivo</x:v>
      </x:c>
      <x:c r="E44" s="124" t="str">
        <x:v>Campanha 1 — Normal</x:v>
      </x:c>
      <x:c r="F44" s="124" t="str">
        <x:v>Etapa 1 — Normal: campanha, emblemas e tesouros</x:v>
      </x:c>
      <x:c r="G44" s="124" t="str">
        <x:v>1-1 ou área com grupo</x:v>
      </x:c>
      <x:c r="H44" s="124" t="str">
        <x:v>Explosão não ser letal.</x:v>
      </x:c>
      <x:c r="I44" s="124" t="str">
        <x:v>Repita 1-1.</x:v>
      </x:c>
      <x:c r="J44" s="124" t="str">
        <x:v>OK</x:v>
      </x:c>
    </x:row>
    <x:row r="45">
      <x:c r="A45" s="124" t="str">
        <x:v>042</x:v>
      </x:c>
      <x:c r="B45" s="124" t="str">
        <x:v>Go into the Light</x:v>
      </x:c>
      <x:c r="C45" s="124" t="str">
        <x:v>Jogo-base</x:v>
      </x:c>
      <x:c r="D45" s="124" t="str">
        <x:v>Combate; explosivo</x:v>
      </x:c>
      <x:c r="E45" s="124" t="str">
        <x:v>Campanha 1 — Normal</x:v>
      </x:c>
      <x:c r="F45" s="124" t="str">
        <x:v>Etapa 1 — Normal: campanha, emblemas e tesouros</x:v>
      </x:c>
      <x:c r="G45" s="124" t="str">
        <x:v>Grupos com Plagas expostas</x:v>
      </x:c>
      <x:c r="H45" s="124" t="str">
        <x:v>Alvos não vulneráveis sobreviverem.</x:v>
      </x:c>
      <x:c r="I45" s="124" t="str">
        <x:v>Repita capítulo.</x:v>
      </x:c>
      <x:c r="J45" s="124" t="str">
        <x:v>OK</x:v>
      </x:c>
    </x:row>
    <x:row r="46">
      <x:c r="A46" s="124" t="str">
        <x:v>043</x:v>
      </x:c>
      <x:c r="B46" s="124" t="str">
        <x:v>Ride the Lightning</x:v>
      </x:c>
      <x:c r="C46" s="124" t="str">
        <x:v>Jogo-base</x:v>
      </x:c>
      <x:c r="D46" s="124" t="str">
        <x:v>Combate; ambiente</x:v>
      </x:c>
      <x:c r="E46" s="124" t="str">
        <x:v>Campanha 1 — Normal</x:v>
      </x:c>
      <x:c r="F46" s="124" t="str">
        <x:v>Etapa 1 — Normal: campanha, emblemas e tesouros</x:v>
      </x:c>
      <x:c r="G46" s="124" t="str">
        <x:v>1-1, transformador</x:v>
      </x:c>
      <x:c r="H46" s="124" t="str">
        <x:v>Tiro do jogador/IA dar o golpe final.</x:v>
      </x:c>
      <x:c r="I46" s="124" t="str">
        <x:v>Reinicie 1-1.</x:v>
      </x:c>
      <x:c r="J46" s="124" t="str">
        <x:v>OK</x:v>
      </x:c>
    </x:row>
    <x:row r="47">
      <x:c r="A47" s="124" t="str">
        <x:v>044</x:v>
      </x:c>
      <x:c r="B47" s="124" t="str">
        <x:v>Stop, Drop, &amp; Roll</x:v>
      </x:c>
      <x:c r="C47" s="124" t="str">
        <x:v>Jogo-base</x:v>
      </x:c>
      <x:c r="D47" s="124" t="str">
        <x:v>Combate; ambiente</x:v>
      </x:c>
      <x:c r="E47" s="124" t="str">
        <x:v>Campanha 1 — Normal</x:v>
      </x:c>
      <x:c r="F47" s="124" t="str">
        <x:v>Etapa 1 — Normal: campanha, emblemas e tesouros</x:v>
      </x:c>
      <x:c r="G47" s="124" t="str">
        <x:v>1-1, óleo</x:v>
      </x:c>
      <x:c r="H47" s="124" t="str">
        <x:v>Inimigos saírem da área ou morrerem por tiro.</x:v>
      </x:c>
      <x:c r="I47" s="124" t="str">
        <x:v>Reinicie 1-1.</x:v>
      </x:c>
      <x:c r="J47" s="124" t="str">
        <x:v>OK</x:v>
      </x:c>
    </x:row>
    <x:row r="48">
      <x:c r="A48" s="124" t="str">
        <x:v>045</x:v>
      </x:c>
      <x:c r="B48" s="124" t="str">
        <x:v>Baptism by Fire</x:v>
      </x:c>
      <x:c r="C48" s="124" t="str">
        <x:v>Jogo-base</x:v>
      </x:c>
      <x:c r="D48" s="124" t="str">
        <x:v>Combate; ambiente</x:v>
      </x:c>
      <x:c r="E48" s="124" t="str">
        <x:v>Campanha 1 — Normal</x:v>
      </x:c>
      <x:c r="F48" s="124" t="str">
        <x:v>Etapa 1 — Normal: campanha, emblemas e tesouros</x:v>
      </x:c>
      <x:c r="G48" s="124" t="str">
        <x:v>1-1/1-2, barril ou tanque</x:v>
      </x:c>
      <x:c r="H48" s="124" t="str">
        <x:v>Explosão não matar os três.</x:v>
      </x:c>
      <x:c r="I48" s="124" t="str">
        <x:v>Repita encontro.</x:v>
      </x:c>
      <x:c r="J48" s="124" t="str">
        <x:v>OK</x:v>
      </x:c>
    </x:row>
    <x:row r="49">
      <x:c r="A49" s="124" t="str">
        <x:v>046</x:v>
      </x:c>
      <x:c r="B49" s="124" t="str">
        <x:v>Masters of Removing</x:v>
      </x:c>
      <x:c r="C49" s="124" t="str">
        <x:v>Jogo-base</x:v>
      </x:c>
      <x:c r="D49" s="124" t="str">
        <x:v>Campanha; coop; chefe; capítulo</x:v>
      </x:c>
      <x:c r="E49" s="124" t="str">
        <x:v>Campanha 1 — Normal</x:v>
      </x:c>
      <x:c r="F49" s="124" t="str">
        <x:v>Etapa 1 — Normal: campanha, emblemas e tesouros</x:v>
      </x:c>
      <x:c r="G49" s="124" t="str">
        <x:v>5-3, fase de Jill</x:v>
      </x:c>
      <x:c r="H49" s="124" t="str">
        <x:v>Concluir removendo somente no chão e o gatilho não registrar segundo algumas fontes.</x:v>
      </x:c>
      <x:c r="I49" s="124" t="str">
        <x:v>Repita 5-3 via Chapter Select.</x:v>
      </x:c>
      <x:c r="J49" s="124" t="str">
        <x:v>OK</x:v>
      </x:c>
    </x:row>
    <x:row r="50">
      <x:c r="A50" s="124" t="str">
        <x:v>047</x:v>
      </x:c>
      <x:c r="B50" s="124" t="str">
        <x:v>Bad Blood</x:v>
      </x:c>
      <x:c r="C50" s="124" t="str">
        <x:v>Jogo-base</x:v>
      </x:c>
      <x:c r="D50" s="124" t="str">
        <x:v>Campanha; chefe; tempo; capítulo</x:v>
      </x:c>
      <x:c r="E50" s="124" t="str">
        <x:v>Campanha 1 — Normal</x:v>
      </x:c>
      <x:c r="F50" s="124" t="str">
        <x:v>Etapa 1 — Normal: campanha, emblemas e tesouros</x:v>
      </x:c>
      <x:c r="G50" s="124" t="str">
        <x:v>Primeiro confronto com Wesker, antes de 7 minutos</x:v>
      </x:c>
      <x:c r="H50" s="124" t="str">
        <x:v>Apenas sobreviver 7 minutos; isso não cumpre o dano e não gera Heart of Africa.</x:v>
      </x:c>
      <x:c r="I50" s="124" t="str">
        <x:v>Repita 5-3; o tesouro aparece na fase de Jill após sucesso.</x:v>
      </x:c>
      <x:c r="J50" s="124" t="str">
        <x:v>OK</x:v>
      </x:c>
    </x:row>
    <x:row r="51">
      <x:c r="A51" s="124" t="str">
        <x:v>048</x:v>
      </x:c>
      <x:c r="B51" s="124" t="str">
        <x:v>Drive By</x:v>
      </x:c>
      <x:c r="C51" s="124" t="str">
        <x:v>Jogo-base</x:v>
      </x:c>
      <x:c r="D51" s="124" t="str">
        <x:v>Campanha; capítulo; combate</x:v>
      </x:c>
      <x:c r="E51" s="124" t="str">
        <x:v>Campanha 1 — Normal</x:v>
      </x:c>
      <x:c r="F51" s="124" t="str">
        <x:v>Etapa 1 — Normal: campanha, emblemas e tesouros</x:v>
      </x:c>
      <x:c r="G51" s="124" t="str">
        <x:v>2-3, perseguição do caminhão blindado</x:v>
      </x:c>
      <x:c r="H51" s="124" t="str">
        <x:v>Destruir o caminhão primeiro, especialmente com a IA atirando.</x:v>
      </x:c>
      <x:c r="I51" s="124" t="str">
        <x:v>Repita 2-3.</x:v>
      </x:c>
      <x:c r="J51" s="124" t="str">
        <x:v>OK</x:v>
      </x:c>
    </x:row>
    <x:row r="52">
      <x:c r="A52" s="124" t="str">
        <x:v>049</x:v>
      </x:c>
      <x:c r="B52" s="124" t="str">
        <x:v>Egg on Your Face</x:v>
      </x:c>
      <x:c r="C52" s="124" t="str">
        <x:v>Jogo-base</x:v>
      </x:c>
      <x:c r="D52" s="124" t="str">
        <x:v>Combate; inventário</x:v>
      </x:c>
      <x:c r="E52" s="124" t="str">
        <x:v>Campanha 2 — Amateur / Chapter Select</x:v>
      </x:c>
      <x:c r="F52" s="124" t="str">
        <x:v>Etapa 2 — Amateur: rank S, sub-5h e limpeza base</x:v>
      </x:c>
      <x:c r="G52" s="124" t="str">
        <x:v>Qualquer Majini em Amateur</x:v>
      </x:c>
      <x:c r="H52" s="124" t="str">
        <x:v>Gastar o único Rotten Egg necessário para Egg Hunt.</x:v>
      </x:c>
      <x:c r="I52" s="124" t="str">
        <x:v>Farm de Rotten Egg e nova tentativa.</x:v>
      </x:c>
      <x:c r="J52" s="124" t="str">
        <x:v>OK</x:v>
      </x:c>
    </x:row>
    <x:row r="53">
      <x:c r="A53" s="124" t="str">
        <x:v>050</x:v>
      </x:c>
      <x:c r="B53" s="124" t="str">
        <x:v>Heart Stopper</x:v>
      </x:c>
      <x:c r="C53" s="124" t="str">
        <x:v>Jogo-base</x:v>
      </x:c>
      <x:c r="D53" s="124" t="str">
        <x:v>Combate; inimigo específico; capítulo</x:v>
      </x:c>
      <x:c r="E53" s="124" t="str">
        <x:v>Campanha 1 — Normal</x:v>
      </x:c>
      <x:c r="F53" s="124" t="str">
        <x:v>Etapa 1 — Normal: campanha, emblemas e tesouros</x:v>
      </x:c>
      <x:c r="G53" s="124" t="str">
        <x:v>5-1 a 5-3</x:v>
      </x:c>
      <x:c r="H53" s="124" t="str">
        <x:v>Matar com tiros ou IA finalizar.</x:v>
      </x:c>
      <x:c r="I53" s="124" t="str">
        <x:v>Repita encontro em 5-1/5-2.</x:v>
      </x:c>
      <x:c r="J53" s="124" t="str">
        <x:v>OK</x:v>
      </x:c>
    </x:row>
    <x:row r="54">
      <x:c r="A54" s="124" t="str">
        <x:v>051</x:v>
      </x:c>
      <x:c r="B54" s="124" t="str">
        <x:v>Who Do You Trust?</x:v>
      </x:c>
      <x:c r="C54" s="124" t="str">
        <x:v>Jogo-base</x:v>
      </x:c>
      <x:c r="D54" s="124" t="str">
        <x:v>Coop com IA; cumulativo</x:v>
      </x:c>
      <x:c r="E54" s="124" t="str">
        <x:v>Campanha 2 — Amateur / Chapter Select</x:v>
      </x:c>
      <x:c r="F54" s="124" t="str">
        <x:v>Etapa 2 — Amateur: rank S, sub-5h e limpeza base</x:v>
      </x:c>
      <x:c r="G54" s="124" t="str">
        <x:v>Sessão solo; loop controlado</x:v>
      </x:c>
      <x:c r="H54" s="124" t="str">
        <x:v>Coop humano não aumenta a variável de confiança da IA; esquecer de agradecer.</x:v>
      </x:c>
      <x:c r="I54" s="124" t="str">
        <x:v>Continue o loop em qualquer capítulo até desbloquear.</x:v>
      </x:c>
      <x:c r="J54" s="124" t="str">
        <x:v>OK</x:v>
      </x:c>
    </x:row>
    <x:row r="55">
      <x:c r="A55" s="124" t="str">
        <x:v>052</x:v>
      </x:c>
      <x:c r="B55" s="124" t="str">
        <x:v>Army of One</x:v>
      </x:c>
      <x:c r="C55" s="124" t="str">
        <x:v>Versus</x:v>
      </x:c>
      <x:c r="D55" s="124" t="str">
        <x:v>Online; Versus; vitórias</x:v>
      </x:c>
      <x:c r="E55" s="124" t="str">
        <x:v>Versus — boost organizado</x:v>
      </x:c>
      <x:c r="F55" s="124" t="str">
        <x:v>Etapa 5 — Versus</x:v>
      </x:c>
      <x:c r="G55" s="124" t="str">
        <x:v>Slayers</x:v>
      </x:c>
      <x:c r="H55" s="124" t="str">
        <x:v>Usar requisito PS3 antigo de 30 e perder tempo.</x:v>
      </x:c>
      <x:c r="I55" s="124" t="str">
        <x:v>Continuar vencendo; progresso cumulativo online.</x:v>
      </x:c>
      <x:c r="J55" s="124" t="str">
        <x:v>OK</x:v>
      </x:c>
    </x:row>
    <x:row r="56">
      <x:c r="A56" s="124" t="str">
        <x:v>053</x:v>
      </x:c>
      <x:c r="B56" s="124" t="str">
        <x:v>Eye of the Tiger</x:v>
      </x:c>
      <x:c r="C56" s="124" t="str">
        <x:v>Versus</x:v>
      </x:c>
      <x:c r="D56" s="124" t="str">
        <x:v>Online; Versus; vitórias</x:v>
      </x:c>
      <x:c r="E56" s="124" t="str">
        <x:v>Versus — boost organizado</x:v>
      </x:c>
      <x:c r="F56" s="124" t="str">
        <x:v>Etapa 5 — Versus</x:v>
      </x:c>
      <x:c r="G56" s="124" t="str">
        <x:v>Survivors</x:v>
      </x:c>
      <x:c r="H56" s="124" t="str">
        <x:v>Matchmaking vazio ou vitória não concluída.</x:v>
      </x:c>
      <x:c r="I56" s="124" t="str">
        <x:v>Repetir partidas.</x:v>
      </x:c>
      <x:c r="J56" s="124" t="str">
        <x:v>OK</x:v>
      </x:c>
    </x:row>
    <x:row r="57">
      <x:c r="A57" s="124" t="str">
        <x:v>054</x:v>
      </x:c>
      <x:c r="B57" s="124" t="str">
        <x:v>The Team That Slays Together...</x:v>
      </x:c>
      <x:c r="C57" s="124" t="str">
        <x:v>Versus</x:v>
      </x:c>
      <x:c r="D57" s="124" t="str">
        <x:v>Online; Versus; equipe; vitórias</x:v>
      </x:c>
      <x:c r="E57" s="124" t="str">
        <x:v>Versus — boost organizado</x:v>
      </x:c>
      <x:c r="F57" s="124" t="str">
        <x:v>Etapa 5 — Versus</x:v>
      </x:c>
      <x:c r="G57" s="124" t="str">
        <x:v>Team Slayers</x:v>
      </x:c>
      <x:c r="H57" s="124" t="str">
        <x:v>Tentar com menos de quatro ou sair antes do resultado.</x:v>
      </x:c>
      <x:c r="I57" s="124" t="str">
        <x:v>Repetir partidas.</x:v>
      </x:c>
      <x:c r="J57" s="124" t="str">
        <x:v>OK</x:v>
      </x:c>
    </x:row>
    <x:row r="58">
      <x:c r="A58" s="124" t="str">
        <x:v>055</x:v>
      </x:c>
      <x:c r="B58" s="124" t="str">
        <x:v>We Will Survive</x:v>
      </x:c>
      <x:c r="C58" s="124" t="str">
        <x:v>Versus</x:v>
      </x:c>
      <x:c r="D58" s="124" t="str">
        <x:v>Online; Versus; equipe; vitórias</x:v>
      </x:c>
      <x:c r="E58" s="124" t="str">
        <x:v>Versus — boost organizado</x:v>
      </x:c>
      <x:c r="F58" s="124" t="str">
        <x:v>Etapa 5 — Versus</x:v>
      </x:c>
      <x:c r="G58" s="124" t="str">
        <x:v>Team Survivors</x:v>
      </x:c>
      <x:c r="H58" s="124" t="str">
        <x:v>Confundir pontuação da equipe com individual.</x:v>
      </x:c>
      <x:c r="I58" s="124" t="str">
        <x:v>Repetir partidas.</x:v>
      </x:c>
      <x:c r="J58" s="124" t="str">
        <x:v>OK</x:v>
      </x:c>
    </x:row>
    <x:row r="59">
      <x:c r="A59" s="124" t="str">
        <x:v>056</x:v>
      </x:c>
      <x:c r="B59" s="124" t="str">
        <x:v>Keep the Good Times Rolling</x:v>
      </x:c>
      <x:c r="C59" s="124" t="str">
        <x:v>Versus</x:v>
      </x:c>
      <x:c r="D59" s="124" t="str">
        <x:v>Online; Versus; combo</x:v>
      </x:c>
      <x:c r="E59" s="124" t="str">
        <x:v>Versus — boost organizado</x:v>
      </x:c>
      <x:c r="F59" s="124" t="str">
        <x:v>Etapa 5 — Versus</x:v>
      </x:c>
      <x:c r="G59" s="124" t="str">
        <x:v>Slayers</x:v>
      </x:c>
      <x:c r="H59" s="124" t="str">
        <x:v>Intervalo longo quebrar o combo.</x:v>
      </x:c>
      <x:c r="I59" s="124" t="str">
        <x:v>Nova partida.</x:v>
      </x:c>
      <x:c r="J59" s="124" t="str">
        <x:v>OK</x:v>
      </x:c>
    </x:row>
    <x:row r="60">
      <x:c r="A60" s="124" t="str">
        <x:v>057</x:v>
      </x:c>
      <x:c r="B60" s="124" t="str">
        <x:v>It Takes Two to Tango</x:v>
      </x:c>
      <x:c r="C60" s="124" t="str">
        <x:v>Versus</x:v>
      </x:c>
      <x:c r="D60" s="124" t="str">
        <x:v>Online; Versus; combo em equipe</x:v>
      </x:c>
      <x:c r="E60" s="124" t="str">
        <x:v>Versus — boost organizado</x:v>
      </x:c>
      <x:c r="F60" s="124" t="str">
        <x:v>Etapa 5 — Versus</x:v>
      </x:c>
      <x:c r="G60" s="124" t="str">
        <x:v>Team Slayers</x:v>
      </x:c>
      <x:c r="H60" s="124" t="str">
        <x:v>Uma morte fora da janela quebrar o combo.</x:v>
      </x:c>
      <x:c r="I60" s="124" t="str">
        <x:v>Nova partida.</x:v>
      </x:c>
      <x:c r="J60" s="124" t="str">
        <x:v>OK</x:v>
      </x:c>
    </x:row>
    <x:row r="61">
      <x:c r="A61" s="124" t="str">
        <x:v>058</x:v>
      </x:c>
      <x:c r="B61" s="124" t="str">
        <x:v>It's All About the Points</x:v>
      </x:c>
      <x:c r="C61" s="124" t="str">
        <x:v>Versus</x:v>
      </x:c>
      <x:c r="D61" s="124" t="str">
        <x:v>Online; Versus; pontuação</x:v>
      </x:c>
      <x:c r="E61" s="124" t="str">
        <x:v>Versus — boost organizado</x:v>
      </x:c>
      <x:c r="F61" s="124" t="str">
        <x:v>Etapa 5 — Versus</x:v>
      </x:c>
      <x:c r="G61" s="124" t="str">
        <x:v>Survivors</x:v>
      </x:c>
      <x:c r="H61" s="124" t="str">
        <x:v>Pontuação insuficiente por mapa/tempo.</x:v>
      </x:c>
      <x:c r="I61" s="124" t="str">
        <x:v>Nova partida.</x:v>
      </x:c>
      <x:c r="J61" s="124" t="str">
        <x:v>OK</x:v>
      </x:c>
    </x:row>
    <x:row r="62">
      <x:c r="A62" s="124" t="str">
        <x:v>059</x:v>
      </x:c>
      <x:c r="B62" s="124" t="str">
        <x:v>There's no "I" in Team</x:v>
      </x:c>
      <x:c r="C62" s="124" t="str">
        <x:v>Versus</x:v>
      </x:c>
      <x:c r="D62" s="124" t="str">
        <x:v>Online; Versus; pontuação em equipe</x:v>
      </x:c>
      <x:c r="E62" s="124" t="str">
        <x:v>Versus — boost organizado</x:v>
      </x:c>
      <x:c r="F62" s="124" t="str">
        <x:v>Etapa 5 — Versus</x:v>
      </x:c>
      <x:c r="G62" s="124" t="str">
        <x:v>Team Survivors</x:v>
      </x:c>
      <x:c r="H62" s="124" t="str">
        <x:v>Distribuir pontos entre as duas equipes.</x:v>
      </x:c>
      <x:c r="I62" s="124" t="str">
        <x:v>Nova partida.</x:v>
      </x:c>
      <x:c r="J62" s="124" t="str">
        <x:v>OK</x:v>
      </x:c>
    </x:row>
    <x:row r="63">
      <x:c r="A63" s="124" t="str">
        <x:v>060</x:v>
      </x:c>
      <x:c r="B63" s="124" t="str">
        <x:v>Let's Get This Party Started!</x:v>
      </x:c>
      <x:c r="C63" s="124" t="str">
        <x:v>Versus</x:v>
      </x:c>
      <x:c r="D63" s="124" t="str">
        <x:v>Versus; Bonus Features; economia</x:v>
      </x:c>
      <x:c r="E63" s="124" t="str">
        <x:v>Versus — boost organizado</x:v>
      </x:c>
      <x:c r="F63" s="124" t="str">
        <x:v>Etapa 5 — Versus</x:v>
      </x:c>
      <x:c r="G63" s="124" t="str">
        <x:v>Antes ou durante o boost</x:v>
      </x:c>
      <x:c r="H63" s="124" t="str">
        <x:v>Gastar EP em munição infinita/figuras e atrasar o total.</x:v>
      </x:c>
      <x:c r="I63" s="124" t="str">
        <x:v>Farm de EP com ranks S em capítulos.</x:v>
      </x:c>
      <x:c r="J63" s="124" t="str">
        <x:v>OK</x:v>
      </x:c>
    </x:row>
    <x:row r="64">
      <x:c r="A64" s="124" t="str">
        <x:v>061</x:v>
      </x:c>
      <x:c r="B64" s="124" t="str">
        <x:v>Bringing the Pain</x:v>
      </x:c>
      <x:c r="C64" s="124" t="str">
        <x:v>Versus</x:v>
      </x:c>
      <x:c r="D64" s="124" t="str">
        <x:v>Online; Versus; combate; cumulativo</x:v>
      </x:c>
      <x:c r="E64" s="124" t="str">
        <x:v>Versus — boost organizado</x:v>
      </x:c>
      <x:c r="F64" s="124" t="str">
        <x:v>Etapa 5 — Versus</x:v>
      </x:c>
      <x:c r="G64" s="124" t="str">
        <x:v>Qualquer modo Versus</x:v>
      </x:c>
      <x:c r="H64" s="124" t="str">
        <x:v>Usar requisito PS3 antigo de 100; tiro dar o golpe final.</x:v>
      </x:c>
      <x:c r="I64" s="124" t="str">
        <x:v>Continuar em partidas futuras.</x:v>
      </x:c>
      <x:c r="J64" s="124" t="str">
        <x:v>OK</x:v>
      </x:c>
    </x:row>
    <x:row r="65">
      <x:c r="A65" s="124" t="str">
        <x:v>062</x:v>
      </x:c>
      <x:c r="B65" s="124" t="str">
        <x:v>Must've Got Lost</x:v>
      </x:c>
      <x:c r="C65" s="124" t="str">
        <x:v>Lost in Nightmares</x:v>
      </x:c>
      <x:c r="D65" s="124" t="str">
        <x:v>DLC; campanha; automático</x:v>
      </x:c>
      <x:c r="E65" s="124" t="str">
        <x:v>Lost — Passagem 1 (Amateur)</x:v>
      </x:c>
      <x:c r="F65" s="124" t="str">
        <x:v>Etapa 6 — Lost in Nightmares: objetivos</x:v>
      </x:c>
      <x:c r="G65" s="124" t="str">
        <x:v>Fim do episódio</x:v>
      </x:c>
      <x:c r="H65" s="124" t="str">
        <x:v>Nenhum risco permanente.</x:v>
      </x:c>
      <x:c r="I65" s="124" t="str">
        <x:v>Repetir episódio.</x:v>
      </x:c>
      <x:c r="J65" s="124" t="str">
        <x:v>OK</x:v>
      </x:c>
    </x:row>
    <x:row r="66">
      <x:c r="A66" s="124" t="str">
        <x:v>063</x:v>
      </x:c>
      <x:c r="B66" s="124" t="str">
        <x:v>It's Just a Bad Dream!</x:v>
      </x:c>
      <x:c r="C66" s="124" t="str">
        <x:v>Lost in Nightmares</x:v>
      </x:c>
      <x:c r="D66" s="124" t="str">
        <x:v>DLC; rank S</x:v>
      </x:c>
      <x:c r="E66" s="124" t="str">
        <x:v>Lost — Passagem 1 (Amateur)</x:v>
      </x:c>
      <x:c r="F66" s="124" t="str">
        <x:v>Etapa 6 — Lost in Nightmares: objetivos</x:v>
      </x:c>
      <x:c r="G66" s="124" t="str">
        <x:v>Tela de resultados</x:v>
      </x:c>
      <x:c r="H66" s="124" t="str">
        <x:v>Combinar com Veteran/Professional elevar o risco de morte e piorar rank.</x:v>
      </x:c>
      <x:c r="I66" s="124" t="str">
        <x:v>Repita somente Lost em dificuldade baixa.</x:v>
      </x:c>
      <x:c r="J66" s="124" t="str">
        <x:v>OK</x:v>
      </x:c>
    </x:row>
    <x:row r="67">
      <x:c r="A67" s="124" t="str">
        <x:v>064</x:v>
      </x:c>
      <x:c r="B67" s="124" t="str">
        <x:v>Night Terrors</x:v>
      </x:c>
      <x:c r="C67" s="124" t="str">
        <x:v>Lost in Nightmares</x:v>
      </x:c>
      <x:c r="D67" s="124" t="str">
        <x:v>DLC; dificuldade</x:v>
      </x:c>
      <x:c r="E67" s="124" t="str">
        <x:v>Lost — Passagens 2 e 3</x:v>
      </x:c>
      <x:c r="F67" s="124" t="str">
        <x:v>Etapa 7 — Lost in Nightmares: Veteran e Professional</x:v>
      </x:c>
      <x:c r="G67" s="124" t="str">
        <x:v>Fim do episódio em Professional</x:v>
      </x:c>
      <x:c r="H67" s="124" t="str">
        <x:v>Assumir que Professional do jogo-base libera o da DLC.</x:v>
      </x:c>
      <x:c r="I67" s="124" t="str">
        <x:v>Refazer apenas Lost Veteran/Professional.</x:v>
      </x:c>
      <x:c r="J67" s="124" t="str">
        <x:v>OK</x:v>
      </x:c>
    </x:row>
    <x:row r="68">
      <x:c r="A68" s="124" t="str">
        <x:v>065</x:v>
      </x:c>
      <x:c r="B68" s="124" t="str">
        <x:v>Kung Fu Fighting</x:v>
      </x:c>
      <x:c r="C68" s="124" t="str">
        <x:v>Lost in Nightmares</x:v>
      </x:c>
      <x:c r="D68" s="124" t="str">
        <x:v>DLC; chefe; melee</x:v>
      </x:c>
      <x:c r="E68" s="124" t="str">
        <x:v>Lost — Passagem 1 (Amateur)</x:v>
      </x:c>
      <x:c r="F68" s="124" t="str">
        <x:v>Etapa 6 — Lost in Nightmares: objetivos</x:v>
      </x:c>
      <x:c r="G68" s="124" t="str">
        <x:v>Confronto final com Wesker</x:v>
      </x:c>
      <x:c r="H68" s="124" t="str">
        <x:v>Finalizar o encontro sem dano melee suficiente.</x:v>
      </x:c>
      <x:c r="I68" s="124" t="str">
        <x:v>Repetir Lost; checkpoint final pode ajudar se ainda disponível.</x:v>
      </x:c>
      <x:c r="J68" s="124" t="str">
        <x:v>OK</x:v>
      </x:c>
    </x:row>
    <x:row r="69">
      <x:c r="A69" s="124" t="str">
        <x:v>066</x:v>
      </x:c>
      <x:c r="B69" s="124" t="str">
        <x:v>Wish Upon a Star</x:v>
      </x:c>
      <x:c r="C69" s="124" t="str">
        <x:v>Lost in Nightmares</x:v>
      </x:c>
      <x:c r="D69" s="124" t="str">
        <x:v>DLC; coletável; mesma passagem</x:v>
      </x:c>
      <x:c r="E69" s="124" t="str">
        <x:v>Lost — Passagem 1 (Amateur)</x:v>
      </x:c>
      <x:c r="F69" s="124" t="str">
        <x:v>Etapa 6 — Lost in Nightmares: objetivos</x:v>
      </x:c>
      <x:c r="G69" s="124" t="str">
        <x:v>18 pontos do episódio</x:v>
      </x:c>
      <x:c r="H69" s="124" t="str">
        <x:v>Assumir progresso cumulativo entre passagens ou perder estrela após retry.</x:v>
      </x:c>
      <x:c r="I69" s="124" t="str">
        <x:v>Se o episódio terminar em 17/18, nova passagem completa é necessária.</x:v>
      </x:c>
      <x:c r="J69" s="124" t="str">
        <x:v>OK</x:v>
      </x:c>
    </x:row>
    <x:row r="70">
      <x:c r="A70" s="124" t="str">
        <x:v>067</x:v>
      </x:c>
      <x:c r="B70" s="124" t="str">
        <x:v>Getaway</x:v>
      </x:c>
      <x:c r="C70" s="124" t="str">
        <x:v>Desperate Escape</x:v>
      </x:c>
      <x:c r="D70" s="124" t="str">
        <x:v>DLC; campanha; automático</x:v>
      </x:c>
      <x:c r="E70" s="124" t="str">
        <x:v>DE — Passagem 1 (Amateur)</x:v>
      </x:c>
      <x:c r="F70" s="124" t="str">
        <x:v>Etapa 8 — Desperate Escape: S e 150 eliminações</x:v>
      </x:c>
      <x:c r="G70" s="124" t="str">
        <x:v>Fim do episódio</x:v>
      </x:c>
      <x:c r="H70" s="124" t="str">
        <x:v>Nenhum risco permanente.</x:v>
      </x:c>
      <x:c r="I70" s="124" t="str">
        <x:v>Repetir episódio.</x:v>
      </x:c>
      <x:c r="J70" s="124" t="str">
        <x:v>OK</x:v>
      </x:c>
    </x:row>
    <x:row r="71">
      <x:c r="A71" s="124" t="str">
        <x:v>068</x:v>
      </x:c>
      <x:c r="B71" s="124" t="str">
        <x:v>The Great Escape</x:v>
      </x:c>
      <x:c r="C71" s="124" t="str">
        <x:v>Desperate Escape</x:v>
      </x:c>
      <x:c r="D71" s="124" t="str">
        <x:v>DLC; rank S</x:v>
      </x:c>
      <x:c r="E71" s="124" t="str">
        <x:v>DE — Passagem 1 (Amateur)</x:v>
      </x:c>
      <x:c r="F71" s="124" t="str">
        <x:v>Etapa 8 — Desperate Escape: S e 150 eliminações</x:v>
      </x:c>
      <x:c r="G71" s="124" t="str">
        <x:v>Tela de resultados</x:v>
      </x:c>
      <x:c r="H71" s="124" t="str">
        <x:v>Atrasar demais aguardando spawns e perder score de tempo.</x:v>
      </x:c>
      <x:c r="I71" s="124" t="str">
        <x:v>Repita DE em Amateur.</x:v>
      </x:c>
      <x:c r="J71" s="124" t="str">
        <x:v>OK</x:v>
      </x:c>
    </x:row>
    <x:row r="72">
      <x:c r="A72" s="124" t="str">
        <x:v>069</x:v>
      </x:c>
      <x:c r="B72" s="124" t="str">
        <x:v>Run the Gauntlet</x:v>
      </x:c>
      <x:c r="C72" s="124" t="str">
        <x:v>Desperate Escape</x:v>
      </x:c>
      <x:c r="D72" s="124" t="str">
        <x:v>DLC; dificuldade; coop recomendado</x:v>
      </x:c>
      <x:c r="E72" s="124" t="str">
        <x:v>DE — Passagens 2 e 3</x:v>
      </x:c>
      <x:c r="F72" s="124" t="str">
        <x:v>Etapa 9 — Desperate Escape: Agitators, Veteran e Professional</x:v>
      </x:c>
      <x:c r="G72" s="124" t="str">
        <x:v>Fim do episódio</x:v>
      </x:c>
      <x:c r="H72" s="124" t="str">
        <x:v>Professional separado do jogo-base; IA e dano extremo tornam a rota instável.</x:v>
      </x:c>
      <x:c r="I72" s="124" t="str">
        <x:v>Refazer apenas DE Professional.</x:v>
      </x:c>
      <x:c r="J72" s="124" t="str">
        <x:v>OK</x:v>
      </x:c>
    </x:row>
    <x:row r="73">
      <x:c r="A73" s="124" t="str">
        <x:v>070</x:v>
      </x:c>
      <x:c r="B73" s="124" t="str">
        <x:v>Way of the Warrior</x:v>
      </x:c>
      <x:c r="C73" s="124" t="str">
        <x:v>Desperate Escape</x:v>
      </x:c>
      <x:c r="D73" s="124" t="str">
        <x:v>DLC; combate; mesma passagem; pessoal</x:v>
      </x:c>
      <x:c r="E73" s="124" t="str">
        <x:v>DE — Passagem 1 (Amateur)</x:v>
      </x:c>
      <x:c r="F73" s="124" t="str">
        <x:v>Etapa 8 — Desperate Escape: S e 150 eliminações</x:v>
      </x:c>
      <x:c r="G73" s="124" t="str">
        <x:v>Episódio inteiro em Amateur</x:v>
      </x:c>
      <x:c r="H73" s="124" t="str">
        <x:v>Mortes do parceiro não contam; atribuição após dano do parceiro é discutida.</x:v>
      </x:c>
      <x:c r="I73" s="124" t="str">
        <x:v>Se não desbloquear antes do fim, nova passagem é necessária.</x:v>
      </x:c>
      <x:c r="J73" s="124" t="str">
        <x:v>OK</x:v>
      </x:c>
    </x:row>
    <x:row r="74">
      <x:c r="A74" s="124" t="str">
        <x:v>071</x:v>
      </x:c>
      <x:c r="B74" s="124" t="str">
        <x:v>Shoot the Messenger</x:v>
      </x:c>
      <x:c r="C74" s="124" t="str">
        <x:v>Desperate Escape</x:v>
      </x:c>
      <x:c r="D74" s="124" t="str">
        <x:v>DLC; inimigo específico; mesma passagem; spawn</x:v>
      </x:c>
      <x:c r="E74" s="124" t="str">
        <x:v>DE — Passagens 2 e 3</x:v>
      </x:c>
      <x:c r="F74" s="124" t="str">
        <x:v>Etapa 9 — Desperate Escape: Agitators, Veteran e Professional</x:v>
      </x:c>
      <x:c r="G74" s="124" t="str">
        <x:v>Três áreas do episódio</x:v>
      </x:c>
      <x:c r="H74" s="124" t="str">
        <x:v>Avançar antes do gatilho, não matar um deles ou reiniciar o episódio.</x:v>
      </x:c>
      <x:c r="I74" s="124" t="str">
        <x:v>Checkpoint só ajuda se anterior ao Agitator perdido; após terminar, nova passagem.</x:v>
      </x:c>
      <x:c r="J74" s="124" t="str">
        <x:v>OK</x:v>
      </x:c>
    </x:row>
  </x:sheetData>
  <x:mergeCells>
    <x:mergeCell ref="A1:J1"/>
    <x:mergeCell ref="A2:J2"/>
  </x:mergeCells>
  <x:conditionalFormatting sqref="J4:J74">
    <x:cfRule type="expression" dxfId="9" priority="1">
      <x:formula>J4="OK"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5" hidden="0" customWidth="1"/>
    <x:col min="4" max="4" width="45" hidden="0" customWidth="1"/>
    <x:col min="5" max="5" width="11" hidden="0" customWidth="1"/>
    <x:col min="6" max="6" width="55" hidden="0" customWidth="1"/>
    <x:col min="7" max="7" width="18" hidden="0" customWidth="1"/>
    <x:col min="8" max="8" width="36" hidden="0" customWidth="1"/>
  </x:cols>
  <x:sheetData>
    <x:row r="1" ht="28" customHeight="1">
      <x:c r="A1" s="112" t="str">
        <x:v>Rota integrada — 16 capítulos</x:v>
      </x:c>
      <x:c r="B1" s="112"/>
      <x:c r="C1" s="112"/>
      <x:c r="D1" s="112"/>
      <x:c r="E1" s="112"/>
      <x:c r="F1" s="112"/>
      <x:c r="G1" s="112"/>
      <x:c r="H1" s="112"/>
    </x:row>
    <x:row r="2" ht="22" customHeight="1">
      <x:c r="A2" s="115" t="str">
        <x:v>Campanha Normal: emblemas, tipos novos de tesouro e ações críticas.</x:v>
      </x:c>
      <x:c r="B2" s="115"/>
      <x:c r="C2" s="115"/>
      <x:c r="D2" s="115"/>
      <x:c r="E2" s="115"/>
      <x:c r="F2" s="115"/>
      <x:c r="G2" s="115"/>
      <x:c r="H2" s="115"/>
    </x:row>
    <x:row r="3" ht="28" customHeight="1">
      <x:c r="A3" s="121" t="str">
        <x:v>Capítulo</x:v>
      </x:c>
      <x:c r="B3" s="121" t="str">
        <x:v>Emblemas</x:v>
      </x:c>
      <x:c r="C3" s="121" t="str">
        <x:v>Total acumulado</x:v>
      </x:c>
      <x:c r="D3" s="121" t="str">
        <x:v>Tipos novos</x:v>
      </x:c>
      <x:c r="E3" s="121" t="str">
        <x:v>Qtd. tipos</x:v>
      </x:c>
      <x:c r="F3" s="121" t="str">
        <x:v>Ação crítica</x:v>
      </x:c>
      <x:c r="G3" s="121" t="str">
        <x:v>Recuperação</x:v>
      </x:c>
      <x:c r="H3" s="121" t="str">
        <x:v>Fonte</x:v>
      </x:c>
    </x:row>
    <x:row r="4">
      <x:c r="A4" s="124" t="str">
        <x:v>1-1</x:v>
      </x:c>
      <x:c r="B4" s="124" t="n">
        <x:v>0</x:v>
      </x:c>
      <x:c r="C4" s="124" t="n">
        <x:v>0</x:v>
      </x:c>
      <x:c r="D4" s="124" t="str">
        <x:v>Gold Ring, Topaz (Marquise)</x:v>
      </x:c>
      <x:c r="E4" s="124" t="n">
        <x:v>2</x:v>
      </x:c>
      <x:c r="F4" s="124" t="str">
        <x:v>Topaz (Marquise): elimine o último Majini da invasão inicial; Gold Ring vem do Executioner.</x:v>
      </x:c>
      <x:c r="G4" s="124" t="str">
        <x:v>Chapter Select</x:v>
      </x:c>
      <x:c r="H4" s="124" t="str">
        <x:v>https://steamcommunity.com/sharedfiles/filedetails/?id=448808219</x:v>
      </x:c>
    </x:row>
    <x:row r="5">
      <x:c r="A5" s="124" t="str">
        <x:v>1-2</x:v>
      </x:c>
      <x:c r="B5" s="124" t="n">
        <x:v>3</x:v>
      </x:c>
      <x:c r="C5" s="124" t="n">
        <x:v>3</x:v>
      </x:c>
      <x:c r="D5" s="124" t="str">
        <x:v>Ivory Relief, Antique Clock</x:v>
      </x:c>
      <x:c r="E5" s="124" t="n">
        <x:v>2</x:v>
      </x:c>
      <x:c r="F5" s="124" t="str">
        <x:v>Pegue os 3 emblemas; Antique Clock antes da porta cooperativa; Ivory Relief da Majini loira/Cephalo.</x:v>
      </x:c>
      <x:c r="G5" s="124" t="str">
        <x:v>Chapter Select</x:v>
      </x:c>
      <x:c r="H5" s="124" t="str">
        <x:v>https://steamcommunity.com/sharedfiles/filedetails/?id=448808219</x:v>
      </x:c>
    </x:row>
    <x:row r="6">
      <x:c r="A6" s="124" t="str">
        <x:v>2-1</x:v>
      </x:c>
      <x:c r="B6" s="124" t="n">
        <x:v>5</x:v>
      </x:c>
      <x:c r="C6" s="124" t="n">
        <x:v>8</x:v>
      </x:c>
      <x:c r="D6" s="124" t="str">
        <x:v>Jewel Bangle, Topaz (Pear), Sapphire (Pear), Emerald (Pear), Ruby (Square), Sapphire (Square), Emerald (Square), Ruby (Marquise)</x:v>
      </x:c>
      <x:c r="E6" s="124" t="n">
        <x:v>8</x:v>
      </x:c>
      <x:c r="F6" s="124" t="str">
        <x:v>Varredura do porto e do assist jump; não saia sem os 5 emblemas e os oito tipos novos listados.</x:v>
      </x:c>
      <x:c r="G6" s="124" t="str">
        <x:v>Chapter Select</x:v>
      </x:c>
      <x:c r="H6" s="124" t="str">
        <x:v>https://steamcommunity.com/sharedfiles/filedetails/?id=448808219</x:v>
      </x:c>
    </x:row>
    <x:row r="7">
      <x:c r="A7" s="124" t="str">
        <x:v>2-2</x:v>
      </x:c>
      <x:c r="B7" s="124" t="n">
        <x:v>3</x:v>
      </x:c>
      <x:c r="C7" s="124" t="n">
        <x:v>11</x:v>
      </x:c>
      <x:c r="D7" s="124" t="str">
        <x:v>Jewel Beetle, Ruby (Pear), Diamond (Pear), Diamond (Square), Diamond (Oval), Diamond (Brilliant)</x:v>
      </x:c>
      <x:c r="E7" s="124" t="n">
        <x:v>6</x:v>
      </x:c>
      <x:c r="F7" s="124" t="str">
        <x:v>Faça a mina devagar: 3 emblemas e seis tipos novos. Diamond (Pear) fica atribuído aqui pela rota conservadora.</x:v>
      </x:c>
      <x:c r="G7" s="124" t="str">
        <x:v>Chapter Select</x:v>
      </x:c>
      <x:c r="H7" s="124" t="str">
        <x:v>https://steamcommunity.com/sharedfiles/filedetails/?id=448808219</x:v>
      </x:c>
    </x:row>
    <x:row r="8">
      <x:c r="A8" s="124" t="str">
        <x:v>2-3</x:v>
      </x:c>
      <x:c r="B8" s="124" t="n">
        <x:v>0</x:v>
      </x:c>
      <x:c r="C8" s="124" t="n">
        <x:v>11</x:v>
      </x:c>
      <x:c r="D8" s="124" t="str">
        <x:v>—</x:v>
      </x:c>
      <x:c r="E8" s="124" t="n">
        <x:v>0</x:v>
      </x:c>
      <x:c r="F8" s="124" t="str">
        <x:v>Priorize Drive By: destrua o caminhão eliminando o motorista; nenhum emblema ou tipo novo obrigatório.</x:v>
      </x:c>
      <x:c r="G8" s="124" t="str">
        <x:v>Chapter Select</x:v>
      </x:c>
      <x:c r="H8" s="124" t="str">
        <x:v>https://steamcommunity.com/sharedfiles/filedetails/?id=448808219</x:v>
      </x:c>
    </x:row>
    <x:row r="9">
      <x:c r="A9" s="124" t="str">
        <x:v>3-1</x:v>
      </x:c>
      <x:c r="B9" s="124" t="n">
        <x:v>4</x:v>
      </x:c>
      <x:c r="C9" s="124" t="n">
        <x:v>15</x:v>
      </x:c>
      <x:c r="D9" s="124" t="str">
        <x:v>Chalice (Silver), Idol (Silver), Ceremonial Mask, Beetle (Brown), Blue Enigma</x:v>
      </x:c>
      <x:c r="E9" s="124" t="n">
        <x:v>5</x:v>
      </x:c>
      <x:c r="F9" s="124" t="str">
        <x:v>Visite todas as ilhas antes de entregar as peças; 4 emblemas, cinco tipos novos e armas/cofres da área.</x:v>
      </x:c>
      <x:c r="G9" s="124" t="str">
        <x:v>Chapter Select</x:v>
      </x:c>
      <x:c r="H9" s="124" t="str">
        <x:v>https://steamcommunity.com/sharedfiles/filedetails/?id=448808219</x:v>
      </x:c>
    </x:row>
    <x:row r="10">
      <x:c r="A10" s="124" t="str">
        <x:v>3-2</x:v>
      </x:c>
      <x:c r="B10" s="124" t="n">
        <x:v>2</x:v>
      </x:c>
      <x:c r="C10" s="124" t="n">
        <x:v>17</x:v>
      </x:c>
      <x:c r="D10" s="124" t="str">
        <x:v>Venom Fang</x:v>
      </x:c>
      <x:c r="E10" s="124" t="n">
        <x:v>1</x:v>
      </x:c>
      <x:c r="F10" s="124" t="str">
        <x:v>Obtenha Venom Fang de um Chainsaw Majini e aproveite o salto roteirizado para Lead Aspirin na limpeza.</x:v>
      </x:c>
      <x:c r="G10" s="124" t="str">
        <x:v>Chapter Select</x:v>
      </x:c>
      <x:c r="H10" s="124" t="str">
        <x:v>https://steamcommunity.com/sharedfiles/filedetails/?id=448808219</x:v>
      </x:c>
    </x:row>
    <x:row r="11">
      <x:c r="A11" s="124" t="str">
        <x:v>3-3</x:v>
      </x:c>
      <x:c r="B11" s="124" t="n">
        <x:v>1</x:v>
      </x:c>
      <x:c r="C11" s="124" t="n">
        <x:v>18</x:v>
      </x:c>
      <x:c r="D11" s="124" t="str">
        <x:v>Emerald (Marquise)</x:v>
      </x:c>
      <x:c r="E11" s="124" t="n">
        <x:v>1</x:v>
      </x:c>
      <x:c r="F11" s="124" t="str">
        <x:v>Pegue o emblema e Emerald (Marquise); conclua as seções de barco do início ao fim.</x:v>
      </x:c>
      <x:c r="G11" s="124" t="str">
        <x:v>Chapter Select</x:v>
      </x:c>
      <x:c r="H11" s="124" t="str">
        <x:v>https://steamcommunity.com/sharedfiles/filedetails/?id=448808219</x:v>
      </x:c>
    </x:row>
    <x:row r="12">
      <x:c r="A12" s="124" t="str">
        <x:v>4-1</x:v>
      </x:c>
      <x:c r="B12" s="124" t="n">
        <x:v>3</x:v>
      </x:c>
      <x:c r="C12" s="124" t="n">
        <x:v>21</x:v>
      </x:c>
      <x:c r="D12" s="124" t="str">
        <x:v>Idol (Gold), Topaz (Square), Ruby (Oval), Topaz (Trilliant), Ruby (Trilliant), Sapphire (Trilliant), Emerald (Trilliant), Soul Gem</x:v>
      </x:c>
      <x:c r="E12" s="124" t="n">
        <x:v>8</x:v>
      </x:c>
      <x:c r="F12" s="124" t="str">
        <x:v>Maior concentração intermediária: 3 emblemas e oito tipos novos; Soul Gem depende do Popokarimu.</x:v>
      </x:c>
      <x:c r="G12" s="124" t="str">
        <x:v>Chapter Select</x:v>
      </x:c>
      <x:c r="H12" s="124" t="str">
        <x:v>https://steamcommunity.com/sharedfiles/filedetails/?id=448808219</x:v>
      </x:c>
    </x:row>
    <x:row r="13">
      <x:c r="A13" s="124" t="str">
        <x:v>4-2</x:v>
      </x:c>
      <x:c r="B13" s="124" t="n">
        <x:v>1</x:v>
      </x:c>
      <x:c r="C13" s="124" t="n">
        <x:v>22</x:v>
      </x:c>
      <x:c r="D13" s="124" t="str">
        <x:v>Beetle (Gold), Diamond (Trilliant)</x:v>
      </x:c>
      <x:c r="E13" s="124" t="n">
        <x:v>2</x:v>
      </x:c>
      <x:c r="F13" s="124" t="str">
        <x:v>Pegue o emblema, Beetle (Gold) e Diamond (Trilliant) antes de encerrar o capítulo.</x:v>
      </x:c>
      <x:c r="G13" s="124" t="str">
        <x:v>Chapter Select</x:v>
      </x:c>
      <x:c r="H13" s="124" t="str">
        <x:v>https://steamcommunity.com/sharedfiles/filedetails/?id=448808219</x:v>
      </x:c>
    </x:row>
    <x:row r="14">
      <x:c r="A14" s="124" t="str">
        <x:v>5-1</x:v>
      </x:c>
      <x:c r="B14" s="124" t="n">
        <x:v>1</x:v>
      </x:c>
      <x:c r="C14" s="124" t="n">
        <x:v>23</x:v>
      </x:c>
      <x:c r="D14" s="124" t="str">
        <x:v>Lion Heart</x:v>
      </x:c>
      <x:c r="E14" s="124" t="n">
        <x:v>1</x:v>
      </x:c>
      <x:c r="F14" s="124" t="str">
        <x:v>Pegue o emblema e garanta Lion Heart de um Licker Beta; capítulo também serve ao farm posterior.</x:v>
      </x:c>
      <x:c r="G14" s="124" t="str">
        <x:v>Chapter Select</x:v>
      </x:c>
      <x:c r="H14" s="124" t="str">
        <x:v>https://steamcommunity.com/sharedfiles/filedetails/?id=448808219</x:v>
      </x:c>
    </x:row>
    <x:row r="15">
      <x:c r="A15" s="124" t="str">
        <x:v>5-2</x:v>
      </x:c>
      <x:c r="B15" s="124" t="n">
        <x:v>1</x:v>
      </x:c>
      <x:c r="C15" s="124" t="n">
        <x:v>24</x:v>
      </x:c>
      <x:c r="D15" s="124" t="str">
        <x:v>Dead Bride's Necklace, Power Stone</x:v>
      </x:c>
      <x:c r="E15" s="124" t="n">
        <x:v>2</x:v>
      </x:c>
      <x:c r="F15" s="124" t="str">
        <x:v>Pegue o emblema, Dead Bride's Necklace e Power Stone; não abandone drops antes da tela de resultados.</x:v>
      </x:c>
      <x:c r="G15" s="124" t="str">
        <x:v>Chapter Select</x:v>
      </x:c>
      <x:c r="H15" s="124" t="str">
        <x:v>https://steamcommunity.com/sharedfiles/filedetails/?id=448808219</x:v>
      </x:c>
    </x:row>
    <x:row r="16">
      <x:c r="A16" s="124" t="str">
        <x:v>5-3</x:v>
      </x:c>
      <x:c r="B16" s="124" t="n">
        <x:v>3</x:v>
      </x:c>
      <x:c r="C16" s="124" t="n">
        <x:v>27</x:v>
      </x:c>
      <x:c r="D16" s="124" t="str">
        <x:v>Royal Necklace, Chalice (Gold), Sapphire (Oval), Emerald (Oval), Topaz (Brilliant), Ruby (Brilliant), Sapphire (Brilliant), Emerald (Brilliant), Sapphire (Marquise), Heart of Africa</x:v>
      </x:c>
      <x:c r="E16" s="124" t="n">
        <x:v>10</x:v>
      </x:c>
      <x:c r="F16" s="124" t="str">
        <x:v>Faça Bad Blood antes de 7 min, recolha Heart of Africa na fase de Jill e execute Masters of Removing.</x:v>
      </x:c>
      <x:c r="G16" s="124" t="str">
        <x:v>Chapter Select</x:v>
      </x:c>
      <x:c r="H16" s="124" t="str">
        <x:v>https://steamcommunity.com/sharedfiles/filedetails/?id=448808219</x:v>
      </x:c>
    </x:row>
    <x:row r="17">
      <x:c r="A17" s="124" t="str">
        <x:v>6-1</x:v>
      </x:c>
      <x:c r="B17" s="124" t="n">
        <x:v>3</x:v>
      </x:c>
      <x:c r="C17" s="124" t="n">
        <x:v>30</x:v>
      </x:c>
      <x:c r="D17" s="124" t="str">
        <x:v>Topaz (Oval)</x:v>
      </x:c>
      <x:c r="E17" s="124" t="n">
        <x:v>1</x:v>
      </x:c>
      <x:c r="F17" s="124" t="str">
        <x:v>Pegue os 3 emblemas e Topaz (Oval); confirme o total 30/30 ao concluir.</x:v>
      </x:c>
      <x:c r="G17" s="124" t="str">
        <x:v>Chapter Select</x:v>
      </x:c>
      <x:c r="H17" s="124" t="str">
        <x:v>https://steamcommunity.com/sharedfiles/filedetails/?id=448808219</x:v>
      </x:c>
    </x:row>
    <x:row r="18">
      <x:c r="A18" s="124" t="str">
        <x:v>6-2</x:v>
      </x:c>
      <x:c r="B18" s="124" t="n">
        <x:v>0</x:v>
      </x:c>
      <x:c r="C18" s="124" t="n">
        <x:v>30</x:v>
      </x:c>
      <x:c r="D18" s="124" t="str">
        <x:v>—</x:v>
      </x:c>
      <x:c r="E18" s="124" t="n">
        <x:v>0</x:v>
      </x:c>
      <x:c r="F18" s="124" t="str">
        <x:v>Sem emblema/tipo novo; capítulo curto útil para EP por rank S após a campanha.</x:v>
      </x:c>
      <x:c r="G18" s="124" t="str">
        <x:v>Chapter Select</x:v>
      </x:c>
      <x:c r="H18" s="124" t="str">
        <x:v>https://steamcommunity.com/sharedfiles/filedetails/?id=448808219</x:v>
      </x:c>
    </x:row>
    <x:row r="19">
      <x:c r="A19" s="124" t="str">
        <x:v>6-3</x:v>
      </x:c>
      <x:c r="B19" s="124" t="n">
        <x:v>0</x:v>
      </x:c>
      <x:c r="C19" s="124" t="n">
        <x:v>30</x:v>
      </x:c>
      <x:c r="D19" s="124" t="str">
        <x:v>Diamond (Marquise)</x:v>
      </x:c>
      <x:c r="E19" s="124" t="n">
        <x:v>1</x:v>
      </x:c>
      <x:c r="F19" s="124" t="str">
        <x:v>Pegue Diamond (Marquise) antes do fim; conclua a campanha Normal e confira o inventário de tesouros.</x:v>
      </x:c>
      <x:c r="G19" s="124" t="str">
        <x:v>Chapter Select</x:v>
      </x:c>
      <x:c r="H19" s="124" t="str">
        <x:v>https://steamcommunity.com/sharedfiles/filedetails/?id=448808219</x:v>
      </x:c>
    </x:row>
  </x:sheetData>
  <x:mergeCells>
    <x:mergeCell ref="A1:H1"/>
    <x:mergeCell ref="A2:H2"/>
  </x:mergeCells>
  <x:conditionalFormatting sqref="B4:C1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{E6278036-4752-B98C-2EDF-F29279176FC3}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6278036-4752-B98C-2EDF-F29279176FC3}">
            <x14:dataBar gradient="1">
              <x14:cfvo type="min"/>
              <x14:cfvo type="max"/>
              <x14:fillColor rgb="FFA02B93"/>
            </x14:dataBar>
          </x14:cfRule>
          <xm:sqref>B4:C19</xm:sqref>
        </x14:conditionalFormatting>
      </x14:conditionalFormattings>
    </x:ext>
  </x:extLst>
</x:worksheet>
</file>

<file path=xl/worksheets/sheet2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1" hidden="0" customWidth="1"/>
    <x:col min="4" max="4" width="52" hidden="0" customWidth="1"/>
    <x:col min="5" max="5" width="22" hidden="0" customWidth="1"/>
    <x:col min="6" max="6" width="18" hidden="0" customWidth="1"/>
    <x:col min="7" max="7" width="36" hidden="0" customWidth="1"/>
  </x:cols>
  <x:sheetData>
    <x:row r="1" ht="28" customHeight="1">
      <x:c r="A1" s="112" t="str">
        <x:v>Tesouros — atribuição conservadora 50/50</x:v>
      </x:c>
      <x:c r="B1" s="112"/>
      <x:c r="C1" s="112"/>
      <x:c r="D1" s="112"/>
      <x:c r="E1" s="112"/>
      <x:c r="F1" s="112"/>
      <x:c r="G1" s="112"/>
    </x:row>
    <x:row r="2" ht="22" customHeight="1">
      <x:c r="A2" s="115" t="str">
        <x:v>Primeiro capítulo recomendado na rota; registro cumulativo e recuperação por Chapter Select.</x:v>
      </x:c>
      <x:c r="B2" s="115"/>
      <x:c r="C2" s="115"/>
      <x:c r="D2" s="115"/>
      <x:c r="E2" s="115"/>
      <x:c r="F2" s="115"/>
      <x:c r="G2" s="115"/>
    </x:row>
    <x:row r="3" ht="28" customHeight="1">
      <x:c r="A3" s="121" t="str">
        <x:v>#</x:v>
      </x:c>
      <x:c r="B3" s="121" t="str">
        <x:v>Tesouro</x:v>
      </x:c>
      <x:c r="C3" s="121" t="str">
        <x:v>Capítulo</x:v>
      </x:c>
      <x:c r="D3" s="121" t="str">
        <x:v>Referência operacional</x:v>
      </x:c>
      <x:c r="E3" s="121" t="str">
        <x:v>Pode vender após registrar?</x:v>
      </x:c>
      <x:c r="F3" s="121" t="str">
        <x:v>Recuperação</x:v>
      </x:c>
      <x:c r="G3" s="121" t="str">
        <x:v>Fonte</x:v>
      </x:c>
    </x:row>
    <x:row r="4">
      <x:c r="A4" s="124" t="n">
        <x:v>1</x:v>
      </x:c>
      <x:c r="B4" s="124" t="str">
        <x:v>Gold Ring</x:v>
      </x:c>
      <x:c r="C4" s="124" t="str">
        <x:v>1-1</x:v>
      </x:c>
      <x:c r="D4" s="124" t="str">
        <x:v>Drop do Executioner na abertura.</x:v>
      </x:c>
      <x:c r="E4" s="124" t="str">
        <x:v>Sim</x:v>
      </x:c>
      <x:c r="F4" s="124" t="str">
        <x:v>Chapter Select</x:v>
      </x:c>
      <x:c r="G4" s="124" t="str">
        <x:v>https://steamcommunity.com/sharedfiles/filedetails/?id=448808219</x:v>
      </x:c>
    </x:row>
    <x:row r="5">
      <x:c r="A5" s="124" t="n">
        <x:v>2</x:v>
      </x:c>
      <x:c r="B5" s="124" t="str">
        <x:v>Ivory Relief</x:v>
      </x:c>
      <x:c r="C5" s="124" t="str">
        <x:v>1-2</x:v>
      </x:c>
      <x:c r="D5" s="124" t="str">
        <x:v>Drop da Majini loira/Cephalo em 1-2.</x:v>
      </x:c>
      <x:c r="E5" s="124" t="str">
        <x:v>Sim</x:v>
      </x:c>
      <x:c r="F5" s="124" t="str">
        <x:v>Chapter Select</x:v>
      </x:c>
      <x:c r="G5" s="124" t="str">
        <x:v>https://steamcommunity.com/sharedfiles/filedetails/?id=448808219</x:v>
      </x:c>
    </x:row>
    <x:row r="6">
      <x:c r="A6" s="124" t="n">
        <x:v>3</x:v>
      </x:c>
      <x:c r="B6" s="124" t="str">
        <x:v>Dead Bride's Necklace</x:v>
      </x:c>
      <x:c r="C6" s="124" t="str">
        <x:v>5-2</x:v>
      </x:c>
      <x:c r="D6" s="124" t="str">
        <x:v>Obtenha durante a varredura de 5-2; confirme o tipo no catálogo antes de sair.</x:v>
      </x:c>
      <x:c r="E6" s="124" t="str">
        <x:v>Sim</x:v>
      </x:c>
      <x:c r="F6" s="124" t="str">
        <x:v>Chapter Select</x:v>
      </x:c>
      <x:c r="G6" s="124" t="str">
        <x:v>https://steamcommunity.com/sharedfiles/filedetails/?id=448808219</x:v>
      </x:c>
    </x:row>
    <x:row r="7">
      <x:c r="A7" s="124" t="n">
        <x:v>4</x:v>
      </x:c>
      <x:c r="B7" s="124" t="str">
        <x:v>Royal Necklace</x:v>
      </x:c>
      <x:c r="C7" s="124" t="str">
        <x:v>5-3</x:v>
      </x:c>
      <x:c r="D7" s="124" t="str">
        <x:v>Obtenha durante a varredura de 5-3; confirme o tipo no catálogo antes de sair.</x:v>
      </x:c>
      <x:c r="E7" s="124" t="str">
        <x:v>Sim</x:v>
      </x:c>
      <x:c r="F7" s="124" t="str">
        <x:v>Chapter Select</x:v>
      </x:c>
      <x:c r="G7" s="124" t="str">
        <x:v>https://steamcommunity.com/sharedfiles/filedetails/?id=448808219</x:v>
      </x:c>
    </x:row>
    <x:row r="8">
      <x:c r="A8" s="124" t="n">
        <x:v>5</x:v>
      </x:c>
      <x:c r="B8" s="124" t="str">
        <x:v>Jewel Bangle</x:v>
      </x:c>
      <x:c r="C8" s="124" t="str">
        <x:v>2-1</x:v>
      </x:c>
      <x:c r="D8" s="124" t="str">
        <x:v>Obtenha durante a varredura de 2-1; confirme o tipo no catálogo antes de sair.</x:v>
      </x:c>
      <x:c r="E8" s="124" t="str">
        <x:v>Sim</x:v>
      </x:c>
      <x:c r="F8" s="124" t="str">
        <x:v>Chapter Select</x:v>
      </x:c>
      <x:c r="G8" s="124" t="str">
        <x:v>https://steamcommunity.com/sharedfiles/filedetails/?id=448808219</x:v>
      </x:c>
    </x:row>
    <x:row r="9">
      <x:c r="A9" s="124" t="n">
        <x:v>6</x:v>
      </x:c>
      <x:c r="B9" s="124" t="str">
        <x:v>Venom Fang</x:v>
      </x:c>
      <x:c r="C9" s="124" t="str">
        <x:v>3-2</x:v>
      </x:c>
      <x:c r="D9" s="124" t="str">
        <x:v>Drop do Chainsaw Majini em 3-2.</x:v>
      </x:c>
      <x:c r="E9" s="124" t="str">
        <x:v>Sim</x:v>
      </x:c>
      <x:c r="F9" s="124" t="str">
        <x:v>Chapter Select</x:v>
      </x:c>
      <x:c r="G9" s="124" t="str">
        <x:v>https://steamcommunity.com/sharedfiles/filedetails/?id=448808219</x:v>
      </x:c>
    </x:row>
    <x:row r="10">
      <x:c r="A10" s="124" t="n">
        <x:v>7</x:v>
      </x:c>
      <x:c r="B10" s="124" t="str">
        <x:v>Antique Clock</x:v>
      </x:c>
      <x:c r="C10" s="124" t="str">
        <x:v>1-2</x:v>
      </x:c>
      <x:c r="D10" s="124" t="str">
        <x:v>Balcony/edifício antes da porta cooperativa em 1-2.</x:v>
      </x:c>
      <x:c r="E10" s="124" t="str">
        <x:v>Sim</x:v>
      </x:c>
      <x:c r="F10" s="124" t="str">
        <x:v>Chapter Select</x:v>
      </x:c>
      <x:c r="G10" s="124" t="str">
        <x:v>https://steamcommunity.com/sharedfiles/filedetails/?id=448808219</x:v>
      </x:c>
    </x:row>
    <x:row r="11">
      <x:c r="A11" s="124" t="n">
        <x:v>8</x:v>
      </x:c>
      <x:c r="B11" s="124" t="str">
        <x:v>Chalice (Silver)</x:v>
      </x:c>
      <x:c r="C11" s="124" t="str">
        <x:v>3-1</x:v>
      </x:c>
      <x:c r="D11" s="124" t="str">
        <x:v>Obtenha durante a varredura de 3-1; confirme o tipo no catálogo antes de sair.</x:v>
      </x:c>
      <x:c r="E11" s="124" t="str">
        <x:v>Sim</x:v>
      </x:c>
      <x:c r="F11" s="124" t="str">
        <x:v>Chapter Select</x:v>
      </x:c>
      <x:c r="G11" s="124" t="str">
        <x:v>https://steamcommunity.com/sharedfiles/filedetails/?id=448808219</x:v>
      </x:c>
    </x:row>
    <x:row r="12">
      <x:c r="A12" s="124" t="n">
        <x:v>9</x:v>
      </x:c>
      <x:c r="B12" s="124" t="str">
        <x:v>Chalice (Gold)</x:v>
      </x:c>
      <x:c r="C12" s="124" t="str">
        <x:v>5-3</x:v>
      </x:c>
      <x:c r="D12" s="124" t="str">
        <x:v>Obtenha durante a varredura de 5-3; confirme o tipo no catálogo antes de sair.</x:v>
      </x:c>
      <x:c r="E12" s="124" t="str">
        <x:v>Sim</x:v>
      </x:c>
      <x:c r="F12" s="124" t="str">
        <x:v>Chapter Select</x:v>
      </x:c>
      <x:c r="G12" s="124" t="str">
        <x:v>https://steamcommunity.com/sharedfiles/filedetails/?id=448808219</x:v>
      </x:c>
    </x:row>
    <x:row r="13">
      <x:c r="A13" s="124" t="n">
        <x:v>10</x:v>
      </x:c>
      <x:c r="B13" s="124" t="str">
        <x:v>Idol (Silver)</x:v>
      </x:c>
      <x:c r="C13" s="124" t="str">
        <x:v>3-1</x:v>
      </x:c>
      <x:c r="D13" s="124" t="str">
        <x:v>Obtenha durante a varredura de 3-1; confirme o tipo no catálogo antes de sair.</x:v>
      </x:c>
      <x:c r="E13" s="124" t="str">
        <x:v>Sim</x:v>
      </x:c>
      <x:c r="F13" s="124" t="str">
        <x:v>Chapter Select</x:v>
      </x:c>
      <x:c r="G13" s="124" t="str">
        <x:v>https://steamcommunity.com/sharedfiles/filedetails/?id=448808219</x:v>
      </x:c>
    </x:row>
    <x:row r="14">
      <x:c r="A14" s="124" t="n">
        <x:v>11</x:v>
      </x:c>
      <x:c r="B14" s="124" t="str">
        <x:v>Idol (Gold)</x:v>
      </x:c>
      <x:c r="C14" s="124" t="str">
        <x:v>4-1</x:v>
      </x:c>
      <x:c r="D14" s="124" t="str">
        <x:v>Obtenha durante a varredura de 4-1; confirme o tipo no catálogo antes de sair.</x:v>
      </x:c>
      <x:c r="E14" s="124" t="str">
        <x:v>Sim</x:v>
      </x:c>
      <x:c r="F14" s="124" t="str">
        <x:v>Chapter Select</x:v>
      </x:c>
      <x:c r="G14" s="124" t="str">
        <x:v>https://steamcommunity.com/sharedfiles/filedetails/?id=448808219</x:v>
      </x:c>
    </x:row>
    <x:row r="15">
      <x:c r="A15" s="124" t="n">
        <x:v>12</x:v>
      </x:c>
      <x:c r="B15" s="124" t="str">
        <x:v>Ceremonial Mask</x:v>
      </x:c>
      <x:c r="C15" s="124" t="str">
        <x:v>3-1</x:v>
      </x:c>
      <x:c r="D15" s="124" t="str">
        <x:v>Obtenha durante a varredura de 3-1; confirme o tipo no catálogo antes de sair.</x:v>
      </x:c>
      <x:c r="E15" s="124" t="str">
        <x:v>Sim</x:v>
      </x:c>
      <x:c r="F15" s="124" t="str">
        <x:v>Chapter Select</x:v>
      </x:c>
      <x:c r="G15" s="124" t="str">
        <x:v>https://steamcommunity.com/sharedfiles/filedetails/?id=448808219</x:v>
      </x:c>
    </x:row>
    <x:row r="16">
      <x:c r="A16" s="124" t="n">
        <x:v>13</x:v>
      </x:c>
      <x:c r="B16" s="124" t="str">
        <x:v>Jewel Beetle</x:v>
      </x:c>
      <x:c r="C16" s="124" t="str">
        <x:v>2-2</x:v>
      </x:c>
      <x:c r="D16" s="124" t="str">
        <x:v>Obtenha durante a varredura de 2-2; confirme o tipo no catálogo antes de sair.</x:v>
      </x:c>
      <x:c r="E16" s="124" t="str">
        <x:v>Sim</x:v>
      </x:c>
      <x:c r="F16" s="124" t="str">
        <x:v>Chapter Select</x:v>
      </x:c>
      <x:c r="G16" s="124" t="str">
        <x:v>https://steamcommunity.com/sharedfiles/filedetails/?id=448808219</x:v>
      </x:c>
    </x:row>
    <x:row r="17">
      <x:c r="A17" s="124" t="n">
        <x:v>14</x:v>
      </x:c>
      <x:c r="B17" s="124" t="str">
        <x:v>Beetle (Brown)</x:v>
      </x:c>
      <x:c r="C17" s="124" t="str">
        <x:v>3-1</x:v>
      </x:c>
      <x:c r="D17" s="124" t="str">
        <x:v>Obtenha durante a varredura de 3-1; confirme o tipo no catálogo antes de sair.</x:v>
      </x:c>
      <x:c r="E17" s="124" t="str">
        <x:v>Sim</x:v>
      </x:c>
      <x:c r="F17" s="124" t="str">
        <x:v>Chapter Select</x:v>
      </x:c>
      <x:c r="G17" s="124" t="str">
        <x:v>https://steamcommunity.com/sharedfiles/filedetails/?id=448808219</x:v>
      </x:c>
    </x:row>
    <x:row r="18">
      <x:c r="A18" s="124" t="n">
        <x:v>15</x:v>
      </x:c>
      <x:c r="B18" s="124" t="str">
        <x:v>Beetle (Gold)</x:v>
      </x:c>
      <x:c r="C18" s="124" t="str">
        <x:v>4-2</x:v>
      </x:c>
      <x:c r="D18" s="124" t="str">
        <x:v>Obtenha durante a varredura de 4-2; confirme o tipo no catálogo antes de sair.</x:v>
      </x:c>
      <x:c r="E18" s="124" t="str">
        <x:v>Sim</x:v>
      </x:c>
      <x:c r="F18" s="124" t="str">
        <x:v>Chapter Select</x:v>
      </x:c>
      <x:c r="G18" s="124" t="str">
        <x:v>https://steamcommunity.com/sharedfiles/filedetails/?id=448808219</x:v>
      </x:c>
    </x:row>
    <x:row r="19">
      <x:c r="A19" s="124" t="n">
        <x:v>16</x:v>
      </x:c>
      <x:c r="B19" s="124" t="str">
        <x:v>Topaz (Pear)</x:v>
      </x:c>
      <x:c r="C19" s="124" t="str">
        <x:v>2-1</x:v>
      </x:c>
      <x:c r="D19" s="124" t="str">
        <x:v>Obtenha durante a varredura de 2-1; confirme o tipo no catálogo antes de sair.</x:v>
      </x:c>
      <x:c r="E19" s="124" t="str">
        <x:v>Sim</x:v>
      </x:c>
      <x:c r="F19" s="124" t="str">
        <x:v>Chapter Select</x:v>
      </x:c>
      <x:c r="G19" s="124" t="str">
        <x:v>https://steamcommunity.com/sharedfiles/filedetails/?id=448808219</x:v>
      </x:c>
    </x:row>
    <x:row r="20">
      <x:c r="A20" s="124" t="n">
        <x:v>17</x:v>
      </x:c>
      <x:c r="B20" s="124" t="str">
        <x:v>Ruby (Pear)</x:v>
      </x:c>
      <x:c r="C20" s="124" t="str">
        <x:v>2-2</x:v>
      </x:c>
      <x:c r="D20" s="124" t="str">
        <x:v>Obtenha durante a varredura de 2-2; confirme o tipo no catálogo antes de sair.</x:v>
      </x:c>
      <x:c r="E20" s="124" t="str">
        <x:v>Sim</x:v>
      </x:c>
      <x:c r="F20" s="124" t="str">
        <x:v>Chapter Select</x:v>
      </x:c>
      <x:c r="G20" s="124" t="str">
        <x:v>https://steamcommunity.com/sharedfiles/filedetails/?id=448808219</x:v>
      </x:c>
    </x:row>
    <x:row r="21">
      <x:c r="A21" s="124" t="n">
        <x:v>18</x:v>
      </x:c>
      <x:c r="B21" s="124" t="str">
        <x:v>Sapphire (Pear)</x:v>
      </x:c>
      <x:c r="C21" s="124" t="str">
        <x:v>2-1</x:v>
      </x:c>
      <x:c r="D21" s="124" t="str">
        <x:v>Obtenha durante a varredura de 2-1; confirme o tipo no catálogo antes de sair.</x:v>
      </x:c>
      <x:c r="E21" s="124" t="str">
        <x:v>Sim</x:v>
      </x:c>
      <x:c r="F21" s="124" t="str">
        <x:v>Chapter Select</x:v>
      </x:c>
      <x:c r="G21" s="124" t="str">
        <x:v>https://steamcommunity.com/sharedfiles/filedetails/?id=448808219</x:v>
      </x:c>
    </x:row>
    <x:row r="22">
      <x:c r="A22" s="124" t="n">
        <x:v>19</x:v>
      </x:c>
      <x:c r="B22" s="124" t="str">
        <x:v>Emerald (Pear)</x:v>
      </x:c>
      <x:c r="C22" s="124" t="str">
        <x:v>2-1</x:v>
      </x:c>
      <x:c r="D22" s="124" t="str">
        <x:v>Obtenha durante a varredura de 2-1; confirme o tipo no catálogo antes de sair.</x:v>
      </x:c>
      <x:c r="E22" s="124" t="str">
        <x:v>Sim</x:v>
      </x:c>
      <x:c r="F22" s="124" t="str">
        <x:v>Chapter Select</x:v>
      </x:c>
      <x:c r="G22" s="124" t="str">
        <x:v>https://steamcommunity.com/sharedfiles/filedetails/?id=448808219</x:v>
      </x:c>
    </x:row>
    <x:row r="23">
      <x:c r="A23" s="124" t="n">
        <x:v>20</x:v>
      </x:c>
      <x:c r="B23" s="124" t="str">
        <x:v>Diamond (Pear)</x:v>
      </x:c>
      <x:c r="C23" s="124" t="str">
        <x:v>2-2</x:v>
      </x:c>
      <x:c r="D23" s="124" t="str">
        <x:v>Rota conservadora em 2-2; não depende da ocorrência anterior contestada.</x:v>
      </x:c>
      <x:c r="E23" s="124" t="str">
        <x:v>Sim</x:v>
      </x:c>
      <x:c r="F23" s="124" t="str">
        <x:v>Chapter Select</x:v>
      </x:c>
      <x:c r="G23" s="124" t="str">
        <x:v>https://steamcommunity.com/sharedfiles/filedetails/?id=448808219</x:v>
      </x:c>
    </x:row>
    <x:row r="24">
      <x:c r="A24" s="124" t="n">
        <x:v>21</x:v>
      </x:c>
      <x:c r="B24" s="124" t="str">
        <x:v>Topaz (Square)</x:v>
      </x:c>
      <x:c r="C24" s="124" t="str">
        <x:v>4-1</x:v>
      </x:c>
      <x:c r="D24" s="124" t="str">
        <x:v>Obtenha durante a varredura de 4-1; confirme o tipo no catálogo antes de sair.</x:v>
      </x:c>
      <x:c r="E24" s="124" t="str">
        <x:v>Sim</x:v>
      </x:c>
      <x:c r="F24" s="124" t="str">
        <x:v>Chapter Select</x:v>
      </x:c>
      <x:c r="G24" s="124" t="str">
        <x:v>https://steamcommunity.com/sharedfiles/filedetails/?id=448808219</x:v>
      </x:c>
    </x:row>
    <x:row r="25">
      <x:c r="A25" s="124" t="n">
        <x:v>22</x:v>
      </x:c>
      <x:c r="B25" s="124" t="str">
        <x:v>Ruby (Square)</x:v>
      </x:c>
      <x:c r="C25" s="124" t="str">
        <x:v>2-1</x:v>
      </x:c>
      <x:c r="D25" s="124" t="str">
        <x:v>Obtenha durante a varredura de 2-1; confirme o tipo no catálogo antes de sair.</x:v>
      </x:c>
      <x:c r="E25" s="124" t="str">
        <x:v>Sim</x:v>
      </x:c>
      <x:c r="F25" s="124" t="str">
        <x:v>Chapter Select</x:v>
      </x:c>
      <x:c r="G25" s="124" t="str">
        <x:v>https://steamcommunity.com/sharedfiles/filedetails/?id=448808219</x:v>
      </x:c>
    </x:row>
    <x:row r="26">
      <x:c r="A26" s="124" t="n">
        <x:v>23</x:v>
      </x:c>
      <x:c r="B26" s="124" t="str">
        <x:v>Sapphire (Square)</x:v>
      </x:c>
      <x:c r="C26" s="124" t="str">
        <x:v>2-1</x:v>
      </x:c>
      <x:c r="D26" s="124" t="str">
        <x:v>Obtenha durante a varredura de 2-1; confirme o tipo no catálogo antes de sair.</x:v>
      </x:c>
      <x:c r="E26" s="124" t="str">
        <x:v>Sim</x:v>
      </x:c>
      <x:c r="F26" s="124" t="str">
        <x:v>Chapter Select</x:v>
      </x:c>
      <x:c r="G26" s="124" t="str">
        <x:v>https://steamcommunity.com/sharedfiles/filedetails/?id=448808219</x:v>
      </x:c>
    </x:row>
    <x:row r="27">
      <x:c r="A27" s="124" t="n">
        <x:v>24</x:v>
      </x:c>
      <x:c r="B27" s="124" t="str">
        <x:v>Emerald (Square)</x:v>
      </x:c>
      <x:c r="C27" s="124" t="str">
        <x:v>2-1</x:v>
      </x:c>
      <x:c r="D27" s="124" t="str">
        <x:v>Obtenha durante a varredura de 2-1; confirme o tipo no catálogo antes de sair.</x:v>
      </x:c>
      <x:c r="E27" s="124" t="str">
        <x:v>Sim</x:v>
      </x:c>
      <x:c r="F27" s="124" t="str">
        <x:v>Chapter Select</x:v>
      </x:c>
      <x:c r="G27" s="124" t="str">
        <x:v>https://steamcommunity.com/sharedfiles/filedetails/?id=448808219</x:v>
      </x:c>
    </x:row>
    <x:row r="28">
      <x:c r="A28" s="124" t="n">
        <x:v>25</x:v>
      </x:c>
      <x:c r="B28" s="124" t="str">
        <x:v>Diamond (Square)</x:v>
      </x:c>
      <x:c r="C28" s="124" t="str">
        <x:v>2-2</x:v>
      </x:c>
      <x:c r="D28" s="124" t="str">
        <x:v>Obtenha durante a varredura de 2-2; confirme o tipo no catálogo antes de sair.</x:v>
      </x:c>
      <x:c r="E28" s="124" t="str">
        <x:v>Sim</x:v>
      </x:c>
      <x:c r="F28" s="124" t="str">
        <x:v>Chapter Select</x:v>
      </x:c>
      <x:c r="G28" s="124" t="str">
        <x:v>https://steamcommunity.com/sharedfiles/filedetails/?id=448808219</x:v>
      </x:c>
    </x:row>
    <x:row r="29">
      <x:c r="A29" s="124" t="n">
        <x:v>26</x:v>
      </x:c>
      <x:c r="B29" s="124" t="str">
        <x:v>Topaz (Oval)</x:v>
      </x:c>
      <x:c r="C29" s="124" t="str">
        <x:v>6-1</x:v>
      </x:c>
      <x:c r="D29" s="124" t="str">
        <x:v>Obtenha durante a varredura de 6-1; confirme o tipo no catálogo antes de sair.</x:v>
      </x:c>
      <x:c r="E29" s="124" t="str">
        <x:v>Sim</x:v>
      </x:c>
      <x:c r="F29" s="124" t="str">
        <x:v>Chapter Select</x:v>
      </x:c>
      <x:c r="G29" s="124" t="str">
        <x:v>https://steamcommunity.com/sharedfiles/filedetails/?id=448808219</x:v>
      </x:c>
    </x:row>
    <x:row r="30">
      <x:c r="A30" s="124" t="n">
        <x:v>27</x:v>
      </x:c>
      <x:c r="B30" s="124" t="str">
        <x:v>Ruby (Oval)</x:v>
      </x:c>
      <x:c r="C30" s="124" t="str">
        <x:v>4-1</x:v>
      </x:c>
      <x:c r="D30" s="124" t="str">
        <x:v>Obtenha durante a varredura de 4-1; confirme o tipo no catálogo antes de sair.</x:v>
      </x:c>
      <x:c r="E30" s="124" t="str">
        <x:v>Sim</x:v>
      </x:c>
      <x:c r="F30" s="124" t="str">
        <x:v>Chapter Select</x:v>
      </x:c>
      <x:c r="G30" s="124" t="str">
        <x:v>https://steamcommunity.com/sharedfiles/filedetails/?id=448808219</x:v>
      </x:c>
    </x:row>
    <x:row r="31">
      <x:c r="A31" s="124" t="n">
        <x:v>28</x:v>
      </x:c>
      <x:c r="B31" s="124" t="str">
        <x:v>Sapphire (Oval)</x:v>
      </x:c>
      <x:c r="C31" s="124" t="str">
        <x:v>5-3</x:v>
      </x:c>
      <x:c r="D31" s="124" t="str">
        <x:v>Obtenha durante a varredura de 5-3; confirme o tipo no catálogo antes de sair.</x:v>
      </x:c>
      <x:c r="E31" s="124" t="str">
        <x:v>Sim</x:v>
      </x:c>
      <x:c r="F31" s="124" t="str">
        <x:v>Chapter Select</x:v>
      </x:c>
      <x:c r="G31" s="124" t="str">
        <x:v>https://steamcommunity.com/sharedfiles/filedetails/?id=448808219</x:v>
      </x:c>
    </x:row>
    <x:row r="32">
      <x:c r="A32" s="124" t="n">
        <x:v>29</x:v>
      </x:c>
      <x:c r="B32" s="124" t="str">
        <x:v>Emerald (Oval)</x:v>
      </x:c>
      <x:c r="C32" s="124" t="str">
        <x:v>5-3</x:v>
      </x:c>
      <x:c r="D32" s="124" t="str">
        <x:v>Obtenha durante a varredura de 5-3; confirme o tipo no catálogo antes de sair.</x:v>
      </x:c>
      <x:c r="E32" s="124" t="str">
        <x:v>Sim</x:v>
      </x:c>
      <x:c r="F32" s="124" t="str">
        <x:v>Chapter Select</x:v>
      </x:c>
      <x:c r="G32" s="124" t="str">
        <x:v>https://steamcommunity.com/sharedfiles/filedetails/?id=448808219</x:v>
      </x:c>
    </x:row>
    <x:row r="33">
      <x:c r="A33" s="124" t="n">
        <x:v>30</x:v>
      </x:c>
      <x:c r="B33" s="124" t="str">
        <x:v>Diamond (Oval)</x:v>
      </x:c>
      <x:c r="C33" s="124" t="str">
        <x:v>2-2</x:v>
      </x:c>
      <x:c r="D33" s="124" t="str">
        <x:v>Obtenha durante a varredura de 2-2; confirme o tipo no catálogo antes de sair.</x:v>
      </x:c>
      <x:c r="E33" s="124" t="str">
        <x:v>Sim</x:v>
      </x:c>
      <x:c r="F33" s="124" t="str">
        <x:v>Chapter Select</x:v>
      </x:c>
      <x:c r="G33" s="124" t="str">
        <x:v>https://steamcommunity.com/sharedfiles/filedetails/?id=448808219</x:v>
      </x:c>
    </x:row>
    <x:row r="34">
      <x:c r="A34" s="124" t="n">
        <x:v>31</x:v>
      </x:c>
      <x:c r="B34" s="124" t="str">
        <x:v>Topaz (Trilliant)</x:v>
      </x:c>
      <x:c r="C34" s="124" t="str">
        <x:v>4-1</x:v>
      </x:c>
      <x:c r="D34" s="124" t="str">
        <x:v>Obtenha durante a varredura de 4-1; confirme o tipo no catálogo antes de sair.</x:v>
      </x:c>
      <x:c r="E34" s="124" t="str">
        <x:v>Sim</x:v>
      </x:c>
      <x:c r="F34" s="124" t="str">
        <x:v>Chapter Select</x:v>
      </x:c>
      <x:c r="G34" s="124" t="str">
        <x:v>https://steamcommunity.com/sharedfiles/filedetails/?id=448808219</x:v>
      </x:c>
    </x:row>
    <x:row r="35">
      <x:c r="A35" s="124" t="n">
        <x:v>32</x:v>
      </x:c>
      <x:c r="B35" s="124" t="str">
        <x:v>Ruby (Trilliant)</x:v>
      </x:c>
      <x:c r="C35" s="124" t="str">
        <x:v>4-1</x:v>
      </x:c>
      <x:c r="D35" s="124" t="str">
        <x:v>Obtenha durante a varredura de 4-1; confirme o tipo no catálogo antes de sair.</x:v>
      </x:c>
      <x:c r="E35" s="124" t="str">
        <x:v>Sim</x:v>
      </x:c>
      <x:c r="F35" s="124" t="str">
        <x:v>Chapter Select</x:v>
      </x:c>
      <x:c r="G35" s="124" t="str">
        <x:v>https://steamcommunity.com/sharedfiles/filedetails/?id=448808219</x:v>
      </x:c>
    </x:row>
    <x:row r="36">
      <x:c r="A36" s="124" t="n">
        <x:v>33</x:v>
      </x:c>
      <x:c r="B36" s="124" t="str">
        <x:v>Sapphire (Trilliant)</x:v>
      </x:c>
      <x:c r="C36" s="124" t="str">
        <x:v>4-1</x:v>
      </x:c>
      <x:c r="D36" s="124" t="str">
        <x:v>Obtenha durante a varredura de 4-1; confirme o tipo no catálogo antes de sair.</x:v>
      </x:c>
      <x:c r="E36" s="124" t="str">
        <x:v>Sim</x:v>
      </x:c>
      <x:c r="F36" s="124" t="str">
        <x:v>Chapter Select</x:v>
      </x:c>
      <x:c r="G36" s="124" t="str">
        <x:v>https://steamcommunity.com/sharedfiles/filedetails/?id=448808219</x:v>
      </x:c>
    </x:row>
    <x:row r="37">
      <x:c r="A37" s="124" t="n">
        <x:v>34</x:v>
      </x:c>
      <x:c r="B37" s="124" t="str">
        <x:v>Emerald (Trilliant)</x:v>
      </x:c>
      <x:c r="C37" s="124" t="str">
        <x:v>4-1</x:v>
      </x:c>
      <x:c r="D37" s="124" t="str">
        <x:v>Obtenha durante a varredura de 4-1; confirme o tipo no catálogo antes de sair.</x:v>
      </x:c>
      <x:c r="E37" s="124" t="str">
        <x:v>Sim</x:v>
      </x:c>
      <x:c r="F37" s="124" t="str">
        <x:v>Chapter Select</x:v>
      </x:c>
      <x:c r="G37" s="124" t="str">
        <x:v>https://steamcommunity.com/sharedfiles/filedetails/?id=448808219</x:v>
      </x:c>
    </x:row>
    <x:row r="38">
      <x:c r="A38" s="124" t="n">
        <x:v>35</x:v>
      </x:c>
      <x:c r="B38" s="124" t="str">
        <x:v>Diamond (Trilliant)</x:v>
      </x:c>
      <x:c r="C38" s="124" t="str">
        <x:v>4-2</x:v>
      </x:c>
      <x:c r="D38" s="124" t="str">
        <x:v>Obtenha durante a varredura de 4-2; confirme o tipo no catálogo antes de sair.</x:v>
      </x:c>
      <x:c r="E38" s="124" t="str">
        <x:v>Sim</x:v>
      </x:c>
      <x:c r="F38" s="124" t="str">
        <x:v>Chapter Select</x:v>
      </x:c>
      <x:c r="G38" s="124" t="str">
        <x:v>https://steamcommunity.com/sharedfiles/filedetails/?id=448808219</x:v>
      </x:c>
    </x:row>
    <x:row r="39">
      <x:c r="A39" s="124" t="n">
        <x:v>36</x:v>
      </x:c>
      <x:c r="B39" s="124" t="str">
        <x:v>Topaz (Brilliant)</x:v>
      </x:c>
      <x:c r="C39" s="124" t="str">
        <x:v>5-3</x:v>
      </x:c>
      <x:c r="D39" s="124" t="str">
        <x:v>Obtenha durante a varredura de 5-3; confirme o tipo no catálogo antes de sair.</x:v>
      </x:c>
      <x:c r="E39" s="124" t="str">
        <x:v>Sim</x:v>
      </x:c>
      <x:c r="F39" s="124" t="str">
        <x:v>Chapter Select</x:v>
      </x:c>
      <x:c r="G39" s="124" t="str">
        <x:v>https://steamcommunity.com/sharedfiles/filedetails/?id=448808219</x:v>
      </x:c>
    </x:row>
    <x:row r="40">
      <x:c r="A40" s="124" t="n">
        <x:v>37</x:v>
      </x:c>
      <x:c r="B40" s="124" t="str">
        <x:v>Ruby (Brilliant)</x:v>
      </x:c>
      <x:c r="C40" s="124" t="str">
        <x:v>5-3</x:v>
      </x:c>
      <x:c r="D40" s="124" t="str">
        <x:v>Obtenha durante a varredura de 5-3; confirme o tipo no catálogo antes de sair.</x:v>
      </x:c>
      <x:c r="E40" s="124" t="str">
        <x:v>Sim</x:v>
      </x:c>
      <x:c r="F40" s="124" t="str">
        <x:v>Chapter Select</x:v>
      </x:c>
      <x:c r="G40" s="124" t="str">
        <x:v>https://steamcommunity.com/sharedfiles/filedetails/?id=448808219</x:v>
      </x:c>
    </x:row>
    <x:row r="41">
      <x:c r="A41" s="124" t="n">
        <x:v>38</x:v>
      </x:c>
      <x:c r="B41" s="124" t="str">
        <x:v>Sapphire (Brilliant)</x:v>
      </x:c>
      <x:c r="C41" s="124" t="str">
        <x:v>5-3</x:v>
      </x:c>
      <x:c r="D41" s="124" t="str">
        <x:v>Obtenha durante a varredura de 5-3; confirme o tipo no catálogo antes de sair.</x:v>
      </x:c>
      <x:c r="E41" s="124" t="str">
        <x:v>Sim</x:v>
      </x:c>
      <x:c r="F41" s="124" t="str">
        <x:v>Chapter Select</x:v>
      </x:c>
      <x:c r="G41" s="124" t="str">
        <x:v>https://steamcommunity.com/sharedfiles/filedetails/?id=448808219</x:v>
      </x:c>
    </x:row>
    <x:row r="42">
      <x:c r="A42" s="124" t="n">
        <x:v>39</x:v>
      </x:c>
      <x:c r="B42" s="124" t="str">
        <x:v>Emerald (Brilliant)</x:v>
      </x:c>
      <x:c r="C42" s="124" t="str">
        <x:v>5-3</x:v>
      </x:c>
      <x:c r="D42" s="124" t="str">
        <x:v>Obtenha durante a varredura de 5-3; confirme o tipo no catálogo antes de sair.</x:v>
      </x:c>
      <x:c r="E42" s="124" t="str">
        <x:v>Sim</x:v>
      </x:c>
      <x:c r="F42" s="124" t="str">
        <x:v>Chapter Select</x:v>
      </x:c>
      <x:c r="G42" s="124" t="str">
        <x:v>https://steamcommunity.com/sharedfiles/filedetails/?id=448808219</x:v>
      </x:c>
    </x:row>
    <x:row r="43">
      <x:c r="A43" s="124" t="n">
        <x:v>40</x:v>
      </x:c>
      <x:c r="B43" s="124" t="str">
        <x:v>Diamond (Brilliant)</x:v>
      </x:c>
      <x:c r="C43" s="124" t="str">
        <x:v>2-2</x:v>
      </x:c>
      <x:c r="D43" s="124" t="str">
        <x:v>Obtenha durante a varredura de 2-2; confirme o tipo no catálogo antes de sair.</x:v>
      </x:c>
      <x:c r="E43" s="124" t="str">
        <x:v>Sim</x:v>
      </x:c>
      <x:c r="F43" s="124" t="str">
        <x:v>Chapter Select</x:v>
      </x:c>
      <x:c r="G43" s="124" t="str">
        <x:v>https://steamcommunity.com/sharedfiles/filedetails/?id=448808219</x:v>
      </x:c>
    </x:row>
    <x:row r="44">
      <x:c r="A44" s="124" t="n">
        <x:v>41</x:v>
      </x:c>
      <x:c r="B44" s="124" t="str">
        <x:v>Topaz (Marquise)</x:v>
      </x:c>
      <x:c r="C44" s="124" t="str">
        <x:v>1-1</x:v>
      </x:c>
      <x:c r="D44" s="124" t="str">
        <x:v>Elimine o último Majini da invasão de 1-1 antes de sair.</x:v>
      </x:c>
      <x:c r="E44" s="124" t="str">
        <x:v>Sim</x:v>
      </x:c>
      <x:c r="F44" s="124" t="str">
        <x:v>Chapter Select</x:v>
      </x:c>
      <x:c r="G44" s="124" t="str">
        <x:v>https://steamcommunity.com/sharedfiles/filedetails/?id=448808219</x:v>
      </x:c>
    </x:row>
    <x:row r="45">
      <x:c r="A45" s="124" t="n">
        <x:v>42</x:v>
      </x:c>
      <x:c r="B45" s="124" t="str">
        <x:v>Ruby (Marquise)</x:v>
      </x:c>
      <x:c r="C45" s="124" t="str">
        <x:v>2-1</x:v>
      </x:c>
      <x:c r="D45" s="124" t="str">
        <x:v>Obtenha durante a varredura de 2-1; confirme o tipo no catálogo antes de sair.</x:v>
      </x:c>
      <x:c r="E45" s="124" t="str">
        <x:v>Sim</x:v>
      </x:c>
      <x:c r="F45" s="124" t="str">
        <x:v>Chapter Select</x:v>
      </x:c>
      <x:c r="G45" s="124" t="str">
        <x:v>https://steamcommunity.com/sharedfiles/filedetails/?id=448808219</x:v>
      </x:c>
    </x:row>
    <x:row r="46">
      <x:c r="A46" s="124" t="n">
        <x:v>43</x:v>
      </x:c>
      <x:c r="B46" s="124" t="str">
        <x:v>Sapphire (Marquise)</x:v>
      </x:c>
      <x:c r="C46" s="124" t="str">
        <x:v>5-3</x:v>
      </x:c>
      <x:c r="D46" s="124" t="str">
        <x:v>Obtenha durante a varredura de 5-3; confirme o tipo no catálogo antes de sair.</x:v>
      </x:c>
      <x:c r="E46" s="124" t="str">
        <x:v>Sim</x:v>
      </x:c>
      <x:c r="F46" s="124" t="str">
        <x:v>Chapter Select</x:v>
      </x:c>
      <x:c r="G46" s="124" t="str">
        <x:v>https://steamcommunity.com/sharedfiles/filedetails/?id=448808219</x:v>
      </x:c>
    </x:row>
    <x:row r="47">
      <x:c r="A47" s="124" t="n">
        <x:v>44</x:v>
      </x:c>
      <x:c r="B47" s="124" t="str">
        <x:v>Emerald (Marquise)</x:v>
      </x:c>
      <x:c r="C47" s="124" t="str">
        <x:v>3-3</x:v>
      </x:c>
      <x:c r="D47" s="124" t="str">
        <x:v>Obtenha durante a varredura de 3-3; confirme o tipo no catálogo antes de sair.</x:v>
      </x:c>
      <x:c r="E47" s="124" t="str">
        <x:v>Sim</x:v>
      </x:c>
      <x:c r="F47" s="124" t="str">
        <x:v>Chapter Select</x:v>
      </x:c>
      <x:c r="G47" s="124" t="str">
        <x:v>https://steamcommunity.com/sharedfiles/filedetails/?id=448808219</x:v>
      </x:c>
    </x:row>
    <x:row r="48">
      <x:c r="A48" s="124" t="n">
        <x:v>45</x:v>
      </x:c>
      <x:c r="B48" s="124" t="str">
        <x:v>Diamond (Marquise)</x:v>
      </x:c>
      <x:c r="C48" s="124" t="str">
        <x:v>6-3</x:v>
      </x:c>
      <x:c r="D48" s="124" t="str">
        <x:v>6-3: recolha antes de concluir o capítulo.</x:v>
      </x:c>
      <x:c r="E48" s="124" t="str">
        <x:v>Sim</x:v>
      </x:c>
      <x:c r="F48" s="124" t="str">
        <x:v>Chapter Select</x:v>
      </x:c>
      <x:c r="G48" s="124" t="str">
        <x:v>https://steamcommunity.com/sharedfiles/filedetails/?id=448808219</x:v>
      </x:c>
    </x:row>
    <x:row r="49">
      <x:c r="A49" s="124" t="n">
        <x:v>46</x:v>
      </x:c>
      <x:c r="B49" s="124" t="str">
        <x:v>Power Stone</x:v>
      </x:c>
      <x:c r="C49" s="124" t="str">
        <x:v>5-2</x:v>
      </x:c>
      <x:c r="D49" s="124" t="str">
        <x:v>Drop de Reaper em 5-2.</x:v>
      </x:c>
      <x:c r="E49" s="124" t="str">
        <x:v>Sim</x:v>
      </x:c>
      <x:c r="F49" s="124" t="str">
        <x:v>Chapter Select</x:v>
      </x:c>
      <x:c r="G49" s="124" t="str">
        <x:v>https://steamcommunity.com/sharedfiles/filedetails/?id=448808219</x:v>
      </x:c>
    </x:row>
    <x:row r="50">
      <x:c r="A50" s="124" t="n">
        <x:v>47</x:v>
      </x:c>
      <x:c r="B50" s="124" t="str">
        <x:v>Lion Heart</x:v>
      </x:c>
      <x:c r="C50" s="124" t="str">
        <x:v>5-1</x:v>
      </x:c>
      <x:c r="D50" s="124" t="str">
        <x:v>Drop de Licker Beta em 5-1.</x:v>
      </x:c>
      <x:c r="E50" s="124" t="str">
        <x:v>Sim</x:v>
      </x:c>
      <x:c r="F50" s="124" t="str">
        <x:v>Chapter Select</x:v>
      </x:c>
      <x:c r="G50" s="124" t="str">
        <x:v>https://steamcommunity.com/sharedfiles/filedetails/?id=448808219</x:v>
      </x:c>
    </x:row>
    <x:row r="51">
      <x:c r="A51" s="124" t="n">
        <x:v>48</x:v>
      </x:c>
      <x:c r="B51" s="124" t="str">
        <x:v>Blue Enigma</x:v>
      </x:c>
      <x:c r="C51" s="124" t="str">
        <x:v>3-1</x:v>
      </x:c>
      <x:c r="D51" s="124" t="str">
        <x:v>Drop de Giant Majini em 3-1.</x:v>
      </x:c>
      <x:c r="E51" s="124" t="str">
        <x:v>Sim</x:v>
      </x:c>
      <x:c r="F51" s="124" t="str">
        <x:v>Chapter Select</x:v>
      </x:c>
      <x:c r="G51" s="124" t="str">
        <x:v>https://steamcommunity.com/sharedfiles/filedetails/?id=448808219</x:v>
      </x:c>
    </x:row>
    <x:row r="52">
      <x:c r="A52" s="124" t="n">
        <x:v>49</x:v>
      </x:c>
      <x:c r="B52" s="124" t="str">
        <x:v>Soul Gem</x:v>
      </x:c>
      <x:c r="C52" s="124" t="str">
        <x:v>4-1</x:v>
      </x:c>
      <x:c r="D52" s="124" t="str">
        <x:v>Drop do Popokarimu em 4-1.</x:v>
      </x:c>
      <x:c r="E52" s="124" t="str">
        <x:v>Sim</x:v>
      </x:c>
      <x:c r="F52" s="124" t="str">
        <x:v>Chapter Select</x:v>
      </x:c>
      <x:c r="G52" s="124" t="str">
        <x:v>https://steamcommunity.com/sharedfiles/filedetails/?id=448808219</x:v>
      </x:c>
    </x:row>
    <x:row r="53">
      <x:c r="A53" s="124" t="n">
        <x:v>50</x:v>
      </x:c>
      <x:c r="B53" s="124" t="str">
        <x:v>Heart of Africa</x:v>
      </x:c>
      <x:c r="C53" s="124" t="str">
        <x:v>5-3</x:v>
      </x:c>
      <x:c r="D53" s="124" t="str">
        <x:v>5-3: faça Bad Blood e recolha entre as escadas na fase de Jill.</x:v>
      </x:c>
      <x:c r="E53" s="124" t="str">
        <x:v>Sim</x:v>
      </x:c>
      <x:c r="F53" s="124" t="str">
        <x:v>Chapter Select</x:v>
      </x:c>
      <x:c r="G53" s="124" t="str">
        <x:v>https://steamcommunity.com/sharedfiles/filedetails/?id=448808219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5" hidden="0" customWidth="1"/>
    <x:col min="4" max="4" width="20" hidden="0" customWidth="1"/>
    <x:col min="5" max="5" width="28" hidden="0" customWidth="1"/>
    <x:col min="6" max="6" width="45" hidden="0" customWidth="1"/>
    <x:col min="7" max="7" width="30" hidden="0" customWidth="1"/>
    <x:col min="8" max="8" width="36" hidden="0" customWidth="1"/>
  </x:cols>
  <x:sheetData>
    <x:row r="1" ht="28" customHeight="1">
      <x:c r="A1" s="112" t="str">
        <x:v>Versus — configuração de boost</x:v>
      </x:c>
      <x:c r="B1" s="112"/>
      <x:c r="C1" s="112"/>
      <x:c r="D1" s="112"/>
      <x:c r="E1" s="112"/>
      <x:c r="F1" s="112"/>
      <x:c r="G1" s="112"/>
      <x:c r="H1" s="112"/>
    </x:row>
    <x:row r="2" ht="22" customHeight="1">
      <x:c r="A2" s="115" t="str">
        <x:v>Valores PS4; organize quatro contas para Team e duplas para modos individuais.</x:v>
      </x:c>
      <x:c r="B2" s="115"/>
      <x:c r="C2" s="115"/>
      <x:c r="D2" s="115"/>
      <x:c r="E2" s="115"/>
      <x:c r="F2" s="115"/>
      <x:c r="G2" s="115"/>
      <x:c r="H2" s="115"/>
    </x:row>
    <x:row r="3" ht="28" customHeight="1">
      <x:c r="A3" s="121" t="str">
        <x:v>Fase</x:v>
      </x:c>
      <x:c r="B3" s="121" t="str">
        <x:v>Modo</x:v>
      </x:c>
      <x:c r="C3" s="121" t="str">
        <x:v>Jogadores mín.</x:v>
      </x:c>
      <x:c r="D3" s="121" t="str">
        <x:v>Vitórias conta-alvo</x:v>
      </x:c>
      <x:c r="E3" s="121" t="str">
        <x:v>Objetivo adicional</x:v>
      </x:c>
      <x:c r="F3" s="121" t="str">
        <x:v>Configuração</x:v>
      </x:c>
      <x:c r="G3" s="121" t="str">
        <x:v>Confirmação</x:v>
      </x:c>
      <x:c r="H3" s="121" t="str">
        <x:v>Fonte</x:v>
      </x:c>
    </x:row>
    <x:row r="4">
      <x:c r="A4" s="124" t="n">
        <x:v>1</x:v>
      </x:c>
      <x:c r="B4" s="124" t="str">
        <x:v>Team Slayers</x:v>
      </x:c>
      <x:c r="C4" s="124" t="n">
        <x:v>4</x:v>
      </x:c>
      <x:c r="D4" s="124" t="n">
        <x:v>15</x:v>
      </x:c>
      <x:c r="E4" s="124" t="str">
        <x:v>Combo 40</x:v>
      </x:c>
      <x:c r="F4" s="124" t="str">
        <x:v>Grupo fixo 2v2; vencedor-alvo concentra abates.</x:v>
      </x:c>
      <x:c r="G4" s="124" t="str">
        <x:v>Troféu + contador de vitórias.</x:v>
      </x:c>
      <x:c r="H4" s="124" t="str">
        <x:v>https://www.exophase.com/game/resident-evil-5-ps4/trophies/</x:v>
      </x:c>
    </x:row>
    <x:row r="5">
      <x:c r="A5" s="124" t="n">
        <x:v>2</x:v>
      </x:c>
      <x:c r="B5" s="124" t="str">
        <x:v>Team Survivors</x:v>
      </x:c>
      <x:c r="C5" s="124" t="n">
        <x:v>4</x:v>
      </x:c>
      <x:c r="D5" s="124" t="n">
        <x:v>15</x:v>
      </x:c>
      <x:c r="E5" s="124" t="str">
        <x:v>80.000 pontos</x:v>
      </x:c>
      <x:c r="F5" s="124" t="str">
        <x:v>Três contas entregam dano/abates à conta-alvo.</x:v>
      </x:c>
      <x:c r="G5" s="124" t="str">
        <x:v>Troféu de vitória + pontuação.</x:v>
      </x:c>
      <x:c r="H5" s="124" t="str">
        <x:v>https://www.exophase.com/game/resident-evil-5-ps4/trophies/</x:v>
      </x:c>
    </x:row>
    <x:row r="6">
      <x:c r="A6" s="124" t="n">
        <x:v>3</x:v>
      </x:c>
      <x:c r="B6" s="124" t="str">
        <x:v>Slayers</x:v>
      </x:c>
      <x:c r="C6" s="124" t="n">
        <x:v>2</x:v>
      </x:c>
      <x:c r="D6" s="124" t="n">
        <x:v>15</x:v>
      </x:c>
      <x:c r="E6" s="124" t="str">
        <x:v>Combo 20</x:v>
      </x:c>
      <x:c r="F6" s="124" t="str">
        <x:v>Duas contas; alternar vencedor somente após fechar 15.</x:v>
      </x:c>
      <x:c r="G6" s="124" t="str">
        <x:v>Troféu + combo.</x:v>
      </x:c>
      <x:c r="H6" s="124" t="str">
        <x:v>https://www.exophase.com/game/resident-evil-5-ps4/trophies/</x:v>
      </x:c>
    </x:row>
    <x:row r="7">
      <x:c r="A7" s="124" t="n">
        <x:v>4</x:v>
      </x:c>
      <x:c r="B7" s="124" t="str">
        <x:v>Survivors</x:v>
      </x:c>
      <x:c r="C7" s="124" t="n">
        <x:v>2</x:v>
      </x:c>
      <x:c r="D7" s="124" t="n">
        <x:v>15</x:v>
      </x:c>
      <x:c r="E7" s="124" t="str">
        <x:v>40.000 pontos</x:v>
      </x:c>
      <x:c r="F7" s="124" t="str">
        <x:v>Duas contas; conta de apoio entrega eliminações.</x:v>
      </x:c>
      <x:c r="G7" s="124" t="str">
        <x:v>Troféu + pontuação.</x:v>
      </x:c>
      <x:c r="H7" s="124" t="str">
        <x:v>https://www.exophase.com/game/resident-evil-5-ps4/trophies/</x:v>
      </x:c>
    </x:row>
    <x:row r="8">
      <x:c r="A8" s="124" t="n">
        <x:v>5</x:v>
      </x:c>
      <x:c r="B8" s="124" t="str">
        <x:v>Qualquer modo adequado</x:v>
      </x:c>
      <x:c r="C8" s="124" t="n">
        <x:v>2</x:v>
      </x:c>
      <x:c r="D8" s="124" t="str">
        <x:v>—</x:v>
      </x:c>
      <x:c r="E8" s="124" t="str">
        <x:v>50 eliminações físicas</x:v>
      </x:c>
      <x:c r="F8" s="124" t="str">
        <x:v>Derrube e finalize com ataques corpo a corpo.</x:v>
      </x:c>
      <x:c r="G8" s="124" t="str">
        <x:v>Bringing the Pain.</x:v>
      </x:c>
      <x:c r="H8" s="124" t="str">
        <x:v>https://www.exophase.com/game/resident-evil-5-ps4/trophies/</x:v>
      </x:c>
    </x:row>
    <x:row r="9">
      <x:c r="A9" s="124" t="n">
        <x:v>6</x:v>
      </x:c>
      <x:c r="B9" s="124" t="str">
        <x:v>Menu Versus</x:v>
      </x:c>
      <x:c r="C9" s="124" t="str">
        <x:v>—</x:v>
      </x:c>
      <x:c r="D9" s="124" t="str">
        <x:v>—</x:v>
      </x:c>
      <x:c r="E9" s="124" t="str">
        <x:v>8 personagens / 134.000 EP</x:v>
      </x:c>
      <x:c r="F9" s="124" t="str">
        <x:v>Reserve EP depois da platina; compre todos os selecionáveis.</x:v>
      </x:c>
      <x:c r="G9" s="124" t="str">
        <x:v>Let's Get This Party Started!</x:v>
      </x:c>
      <x:c r="H9" s="124" t="str">
        <x:v>https://www.exophase.com/game/resident-evil-5-ps4/trophies/</x:v>
      </x:c>
    </x:row>
    <x:row r="12" ht="28" customHeight="1">
      <x:c r="A12" s="121" t="str">
        <x:v>Controle</x:v>
      </x:c>
      <x:c r="B12" s="121" t="str">
        <x:v>Valor</x:v>
      </x:c>
      <x:c r="C12" s="121" t="str">
        <x:v>Interpretação</x:v>
      </x:c>
      <x:c r="D12" s="121" t="str">
        <x:v>Status</x:v>
      </x:c>
    </x:row>
    <x:row r="13">
      <x:c r="A13" s="124" t="str">
        <x:v>Vitórias por conta-alvo</x:v>
      </x:c>
      <x:c r="B13" s="124" t="n">
        <x:v>60</x:v>
      </x:c>
      <x:c r="C13" s="124" t="str">
        <x:v>15 × 4 modalidades</x:v>
      </x:c>
      <x:c r="D13" s="125" t="str">
        <x:v>Confirmado</x:v>
      </x:c>
    </x:row>
    <x:row r="14">
      <x:c r="A14" s="124" t="str">
        <x:v>Contas para Team</x:v>
      </x:c>
      <x:c r="B14" s="124" t="n">
        <x:v>4</x:v>
      </x:c>
      <x:c r="C14" s="124" t="str">
        <x:v>2v2 obrigatório</x:v>
      </x:c>
      <x:c r="D14" s="125" t="str">
        <x:v>Confirmado</x:v>
      </x:c>
    </x:row>
    <x:row r="15">
      <x:c r="A15" s="124" t="str">
        <x:v>Contas para individual</x:v>
      </x:c>
      <x:c r="B15" s="124" t="n">
        <x:v>2</x:v>
      </x:c>
      <x:c r="C15" s="124" t="str">
        <x:v>1v1</x:v>
      </x:c>
      <x:c r="D15" s="125" t="str">
        <x:v>Confirmado</x:v>
      </x:c>
    </x:row>
    <x:row r="16">
      <x:c r="A16" s="124" t="str">
        <x:v>EP de personagens</x:v>
      </x:c>
      <x:c r="B16" s="124" t="n">
        <x:v>134000</x:v>
      </x:c>
      <x:c r="C16" s="124" t="str">
        <x:v>8 desbloqueios</x:v>
      </x:c>
      <x:c r="D16" s="126" t="str">
        <x:v>Confirmado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6" hidden="0" customWidth="1"/>
    <x:col min="4" max="4" width="36" hidden="0" customWidth="1"/>
    <x:col min="5" max="5" width="22" hidden="0" customWidth="1"/>
    <x:col min="6" max="6" width="48" hidden="0" customWidth="1"/>
    <x:col min="7" max="7" width="34" hidden="0" customWidth="1"/>
    <x:col min="8" max="8" width="28" hidden="0" customWidth="1"/>
    <x:col min="9" max="9" width="38" hidden="0" customWidth="1"/>
  </x:cols>
  <x:sheetData>
    <x:row r="1" ht="28" customHeight="1">
      <x:c r="A1" s="112" t="str">
        <x:v>DLCs de história — passagens definitivas</x:v>
      </x:c>
      <x:c r="B1" s="112"/>
      <x:c r="C1" s="112"/>
      <x:c r="D1" s="112"/>
      <x:c r="E1" s="112"/>
      <x:c r="F1" s="112"/>
      <x:c r="G1" s="112"/>
      <x:c r="H1" s="112"/>
      <x:c r="I1" s="112"/>
    </x:row>
    <x:row r="2" ht="22" customHeight="1">
      <x:c r="A2" s="115" t="str">
        <x:v>Lost in Nightmares e Desperate Escape separados da platina.</x:v>
      </x:c>
      <x:c r="B2" s="115"/>
      <x:c r="C2" s="115"/>
      <x:c r="D2" s="115"/>
      <x:c r="E2" s="115"/>
      <x:c r="F2" s="115"/>
      <x:c r="G2" s="115"/>
      <x:c r="H2" s="115"/>
      <x:c r="I2" s="115"/>
    </x:row>
    <x:row r="3" ht="28" customHeight="1">
      <x:c r="A3" s="121" t="str">
        <x:v>Pacote</x:v>
      </x:c>
      <x:c r="B3" s="121" t="str">
        <x:v>Passagem</x:v>
      </x:c>
      <x:c r="C3" s="121" t="str">
        <x:v>Dificuldade</x:v>
      </x:c>
      <x:c r="D3" s="121" t="str">
        <x:v>Objetivos</x:v>
      </x:c>
      <x:c r="E3" s="121" t="str">
        <x:v>Mesma passagem?</x:v>
      </x:c>
      <x:c r="F3" s="121" t="str">
        <x:v>Ação crítica</x:v>
      </x:c>
      <x:c r="G3" s="121" t="str">
        <x:v>Falha</x:v>
      </x:c>
      <x:c r="H3" s="121" t="str">
        <x:v>Recuperação</x:v>
      </x:c>
      <x:c r="I3" s="121" t="str">
        <x:v>Fonte</x:v>
      </x:c>
    </x:row>
    <x:row r="4">
      <x:c r="A4" s="124" t="str">
        <x:v>Lost in Nightmares</x:v>
      </x:c>
      <x:c r="B4" s="124" t="n">
        <x:v>1</x:v>
      </x:c>
      <x:c r="C4" s="124" t="str">
        <x:v>Amateur</x:v>
      </x:c>
      <x:c r="D4" s="124" t="str">
        <x:v>Concluir; rank S; dano em Wesker; 18 Score Stars</x:v>
      </x:c>
      <x:c r="E4" s="124" t="str">
        <x:v>18/18 e dano nesta passagem</x:v>
      </x:c>
      <x:c r="F4" s="124" t="str">
        <x:v>Checklist 1–18; não avance de Wesker cedo.</x:v>
      </x:c>
      <x:c r="G4" s="124" t="str">
        <x:v>17 estrelas ou dano insuficiente.</x:v>
      </x:c>
      <x:c r="H4" s="124" t="str">
        <x:v>Repetir cenário completo.</x:v>
      </x:c>
      <x:c r="I4" s="124" t="str">
        <x:v>https://www.exophase.com/game/resident-evil-5-ps4/trophies/</x:v>
      </x:c>
    </x:row>
    <x:row r="5">
      <x:c r="A5" s="124" t="str">
        <x:v>Lost in Nightmares</x:v>
      </x:c>
      <x:c r="B5" s="124" t="n">
        <x:v>2</x:v>
      </x:c>
      <x:c r="C5" s="124" t="str">
        <x:v>Veteran</x:v>
      </x:c>
      <x:c r="D5" s="124" t="str">
        <x:v>Concluir para liberar Professional</x:v>
      </x:c>
      <x:c r="E5" s="124" t="str">
        <x:v>Não</x:v>
      </x:c>
      <x:c r="F5" s="124" t="str">
        <x:v>Passagem dedicada; Jill disponível após a primeira conclusão.</x:v>
      </x:c>
      <x:c r="G5" s="124" t="str">
        <x:v>Assumir Professional liberado sem Veteran.</x:v>
      </x:c>
      <x:c r="H5" s="124" t="str">
        <x:v>Concluir Veteran.</x:v>
      </x:c>
      <x:c r="I5" s="124" t="str">
        <x:v>https://www.playstationtrophies.org/forum/topic/157297-resident-evil-lost-in-nightmares-~-trophy-guide-and-roadmap/</x:v>
      </x:c>
    </x:row>
    <x:row r="6">
      <x:c r="A6" s="124" t="str">
        <x:v>Lost in Nightmares</x:v>
      </x:c>
      <x:c r="B6" s="124" t="n">
        <x:v>3</x:v>
      </x:c>
      <x:c r="C6" s="124" t="str">
        <x:v>Professional</x:v>
      </x:c>
      <x:c r="D6" s="124" t="str">
        <x:v>Night Terrors</x:v>
      </x:c>
      <x:c r="E6" s="124" t="str">
        <x:v>Não</x:v>
      </x:c>
      <x:c r="F6" s="124" t="str">
        <x:v>Coop humano recomendado; ignore objetivos já feitos.</x:v>
      </x:c>
      <x:c r="G6" s="124" t="str">
        <x:v>Morte/IA frágil.</x:v>
      </x:c>
      <x:c r="H6" s="124" t="str">
        <x:v>Reiniciar checkpoint ou passagem.</x:v>
      </x:c>
      <x:c r="I6" s="124" t="str">
        <x:v>https://www.exophase.com/game/resident-evil-5-ps4/trophies/</x:v>
      </x:c>
    </x:row>
    <x:row r="7">
      <x:c r="A7" s="124" t="str">
        <x:v>Desperate Escape</x:v>
      </x:c>
      <x:c r="B7" s="124" t="n">
        <x:v>1</x:v>
      </x:c>
      <x:c r="C7" s="124" t="str">
        <x:v>Amateur</x:v>
      </x:c>
      <x:c r="D7" s="124" t="str">
        <x:v>Concluir; rank S; 150 eliminações pessoais</x:v>
      </x:c>
      <x:c r="E7" s="124" t="str">
        <x:v>150 nesta passagem</x:v>
      </x:c>
      <x:c r="F7" s="124" t="str">
        <x:v>IA sem armas; jogador aplica golpes finais; esgote ondas.</x:v>
      </x:c>
      <x:c r="G7" s="124" t="str">
        <x:v>Somar tentativas ou contar abates da IA.</x:v>
      </x:c>
      <x:c r="H7" s="124" t="str">
        <x:v>Repetir cenário completo.</x:v>
      </x:c>
      <x:c r="I7" s="124" t="str">
        <x:v>https://www.exophase.com/game/resident-evil-5-ps4/trophies/</x:v>
      </x:c>
    </x:row>
    <x:row r="8">
      <x:c r="A8" s="124" t="str">
        <x:v>Desperate Escape</x:v>
      </x:c>
      <x:c r="B8" s="124" t="n">
        <x:v>2</x:v>
      </x:c>
      <x:c r="C8" s="124" t="str">
        <x:v>Veteran</x:v>
      </x:c>
      <x:c r="D8" s="124" t="str">
        <x:v>Três Agitators; liberar Professional</x:v>
      </x:c>
      <x:c r="E8" s="124" t="str">
        <x:v>3/3 nesta passagem</x:v>
      </x:c>
      <x:c r="F8" s="124" t="str">
        <x:v>Limpar área inicial; gatilho dos lança-foguetes; matar subchefes cedo no final.</x:v>
      </x:c>
      <x:c r="G8" s="124" t="str">
        <x:v>Um Agitator não aparecer/morrer.</x:v>
      </x:c>
      <x:c r="H8" s="124" t="str">
        <x:v>Reiniciar cenário completo.</x:v>
      </x:c>
      <x:c r="I8" s="124" t="str">
        <x:v>https://gamefaqs.gamespot.com/boards/991006-resident-evil-5-desperate-escape/53869452</x:v>
      </x:c>
    </x:row>
    <x:row r="9">
      <x:c r="A9" s="124" t="str">
        <x:v>Desperate Escape</x:v>
      </x:c>
      <x:c r="B9" s="124" t="n">
        <x:v>3</x:v>
      </x:c>
      <x:c r="C9" s="124" t="str">
        <x:v>Professional</x:v>
      </x:c>
      <x:c r="D9" s="124" t="str">
        <x:v>Run the Gauntlet</x:v>
      </x:c>
      <x:c r="E9" s="124" t="str">
        <x:v>Não</x:v>
      </x:c>
      <x:c r="F9" s="124" t="str">
        <x:v>Passagem dedicada; coop humano recomendado.</x:v>
      </x:c>
      <x:c r="G9" s="124" t="str">
        <x:v>Assumir progressão parcial entre dificuldades.</x:v>
      </x:c>
      <x:c r="H9" s="124" t="str">
        <x:v>Concluir Professional do início ao fim.</x:v>
      </x:c>
      <x:c r="I9" s="124" t="str">
        <x:v>https://www.exophase.com/game/resident-evil-5-ps4/trophies/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44" hidden="0" customWidth="1"/>
    <x:col min="4" max="4" width="26" hidden="0" customWidth="1"/>
    <x:col min="5" max="5" width="14" hidden="0" customWidth="1"/>
    <x:col min="6" max="6" width="14" hidden="0" customWidth="1"/>
  </x:cols>
  <x:sheetData>
    <x:row r="1" ht="28" customHeight="1">
      <x:c r="A1" s="112" t="str">
        <x:v>Auditoria adversarial — Portão B</x:v>
      </x:c>
      <x:c r="B1" s="112"/>
      <x:c r="C1" s="112"/>
      <x:c r="D1" s="112"/>
      <x:c r="E1" s="112"/>
      <x:c r="F1" s="112"/>
    </x:row>
    <x:row r="2" ht="22" customHeight="1">
      <x:c r="A2" s="115" t="str">
        <x:v>Testes de cobertura, conflito de objetivos e executabilidade.</x:v>
      </x:c>
      <x:c r="B2" s="115"/>
      <x:c r="C2" s="115"/>
      <x:c r="D2" s="115"/>
      <x:c r="E2" s="115"/>
      <x:c r="F2" s="115"/>
    </x:row>
    <x:row r="3" ht="28" customHeight="1">
      <x:c r="A3" s="121" t="str">
        <x:v>Teste</x:v>
      </x:c>
      <x:c r="B3" s="121" t="str">
        <x:v>Problema identificado</x:v>
      </x:c>
      <x:c r="C3" s="121" t="str">
        <x:v>Correção aplicada</x:v>
      </x:c>
      <x:c r="D3" s="121" t="str">
        <x:v>Evidência/fórmula</x:v>
      </x:c>
      <x:c r="E3" s="121" t="str">
        <x:v>Status</x:v>
      </x:c>
      <x:c r="F3" s="121" t="str">
        <x:v>Impacto</x:v>
      </x:c>
    </x:row>
    <x:row r="4">
      <x:c r="A4" s="124" t="str">
        <x:v>Cobertura total</x:v>
      </x:c>
      <x:c r="B4" s="124" t="str">
        <x:v>Troféus sem etapa poderiam desaparecer da rota.</x:v>
      </x:c>
      <x:c r="C4" s="124" t="str">
        <x:v>Cobertura_Rota mantém 71 linhas.</x:v>
      </x:c>
      <x:c r="D4" s="124" t="n">
        <x:f>COUNTA(Cobertura_Rota!A4:A74)</x:f>
        <x:v>71</x:v>
      </x:c>
      <x:c r="E4" s="127" t="str">
        <x:v>APROVADO</x:v>
      </x:c>
      <x:c r="F4" s="124" t="str">
        <x:v>Bloqueante</x:v>
      </x:c>
    </x:row>
    <x:row r="5">
      <x:c r="A5" s="124" t="str">
        <x:v>Jogo-base separado</x:v>
      </x:c>
      <x:c r="B5" s="124" t="str">
        <x:v>DLC poderia contaminar a condição da platina.</x:v>
      </x:c>
      <x:c r="C5" s="124" t="str">
        <x:v>51 base isolados de 20 adicionais.</x:v>
      </x:c>
      <x:c r="D5" s="124" t="n">
        <x:f>COUNTIF(Cobertura_Rota!C4:C74,"Jogo-base")</x:f>
        <x:v>51</x:v>
      </x:c>
      <x:c r="E5" s="127" t="str">
        <x:v>APROVADO</x:v>
      </x:c>
      <x:c r="F5" s="124" t="str">
        <x:v>Bloqueante</x:v>
      </x:c>
    </x:row>
    <x:row r="6">
      <x:c r="A6" s="124" t="str">
        <x:v>Coletáveis × velocidade</x:v>
      </x:c>
      <x:c r="B6" s="124" t="str">
        <x:v>Buscar 50 tesouros durante sub-5h aumenta risco.</x:v>
      </x:c>
      <x:c r="C6" s="124" t="str">
        <x:v>Coleta principal em Normal; speed em Amateur.</x:v>
      </x:c>
      <x:c r="D6" s="124" t="str">
        <x:v>Revisão operacional</x:v>
      </x:c>
      <x:c r="E6" s="127" t="str">
        <x:v>APROVADO</x:v>
      </x:c>
      <x:c r="F6" s="124" t="str">
        <x:v>Alto</x:v>
      </x:c>
    </x:row>
    <x:row r="7">
      <x:c r="A7" s="124" t="str">
        <x:v>EP das figuras</x:v>
      </x:c>
      <x:c r="B7" s="124" t="str">
        <x:v>Infinitas cedo podem atrasar 46 figuras.</x:v>
      </x:c>
      <x:c r="C7" s="124" t="str">
        <x:v>Reserva de 22.000 EP.</x:v>
      </x:c>
      <x:c r="D7" s="124" t="str">
        <x:v>Ordem da Etapa 2</x:v>
      </x:c>
      <x:c r="E7" s="127" t="str">
        <x:v>APROVADO</x:v>
      </x:c>
      <x:c r="F7" s="124" t="str">
        <x:v>Alto</x:v>
      </x:c>
    </x:row>
    <x:row r="8">
      <x:c r="A8" s="124" t="str">
        <x:v>Stockpile/upgrades</x:v>
      </x:c>
      <x:c r="B8" s="124" t="str">
        <x:v>Venda/recompra cria retrabalho e ambiguidade.</x:v>
      </x:c>
      <x:c r="C8" s="124" t="str">
        <x:v>Manter 27 itens e 18 armas até os dois troféus.</x:v>
      </x:c>
      <x:c r="D8" s="124" t="str">
        <x:v>Checklists 27/27 e 18/18</x:v>
      </x:c>
      <x:c r="E8" s="127" t="str">
        <x:v>APROVADO</x:v>
      </x:c>
      <x:c r="F8" s="124" t="str">
        <x:v>Alto</x:v>
      </x:c>
    </x:row>
    <x:row r="9">
      <x:c r="A9" s="124" t="str">
        <x:v>Versus PS4</x:v>
      </x:c>
      <x:c r="B9" s="124" t="str">
        <x:v>Valores PS3 de 30/100 ainda aparecem em guias antigos.</x:v>
      </x:c>
      <x:c r="C9" s="124" t="str">
        <x:v>Usar 15 vitórias por modo e 50 físicos.</x:v>
      </x:c>
      <x:c r="D9" s="124" t="str">
        <x:v>Lista PS4</x:v>
      </x:c>
      <x:c r="E9" s="127" t="str">
        <x:v>APROVADO</x:v>
      </x:c>
      <x:c r="F9" s="124" t="str">
        <x:v>Bloqueante</x:v>
      </x:c>
    </x:row>
    <x:row r="10">
      <x:c r="A10" s="124" t="str">
        <x:v>Agitator Amateur</x:v>
      </x:c>
      <x:c r="B10" s="124" t="str">
        <x:v>Relatos conflitantes sobre o primeiro gatilho.</x:v>
      </x:c>
      <x:c r="C10" s="124" t="str">
        <x:v>Mover 3 Agitators para Veteran obrigatório.</x:v>
      </x:c>
      <x:c r="D10" s="124" t="str">
        <x:v>DLC_Rotas</x:v>
      </x:c>
      <x:c r="E10" s="127" t="str">
        <x:v>APROVADO</x:v>
      </x:c>
      <x:c r="F10" s="124" t="str">
        <x:v>Médio</x:v>
      </x:c>
    </x:row>
    <x:row r="11">
      <x:c r="A11" s="124" t="str">
        <x:v>Saves</x:v>
      </x:c>
      <x:c r="B11" s="124" t="str">
        <x:v>Backup genérico poderia parecer obrigatório.</x:v>
      </x:c>
      <x:c r="C11" s="124" t="str">
        <x:v>Chapter Select é recuperação; backup externo opcional.</x:v>
      </x:c>
      <x:c r="D11" s="124" t="str">
        <x:v>Rota final</x:v>
      </x:c>
      <x:c r="E11" s="127" t="str">
        <x:v>APROVADO</x:v>
      </x:c>
      <x:c r="F11" s="124" t="str">
        <x:v>Baixo</x:v>
      </x:c>
    </x:row>
    <x:row r="12">
      <x:c r="A12" s="124" t="str">
        <x:v>Total final</x:v>
      </x:c>
      <x:c r="B12" s="124" t="str">
        <x:v>Total oficial = matriz = rota.</x:v>
      </x:c>
      <x:c r="C12" s="124" t="str">
        <x:v>71 = 71 = 71.</x:v>
      </x:c>
      <x:c r="D12" s="124" t="str">
        <x:f>IF(COUNTA(Cobertura_Rota!A4:A74)=71,"OK","FALHA")</x:f>
        <x:v>OK</x:v>
      </x:c>
      <x:c r="E12" s="127" t="str">
        <x:v>APROVADO</x:v>
      </x:c>
      <x:c r="F12" s="124" t="str">
        <x:v>Bloqueante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14" hidden="0" customWidth="1"/>
    <x:col min="5" max="5" width="34" hidden="0" customWidth="1"/>
    <x:col min="6" max="6" width="14" hidden="0" customWidth="1"/>
    <x:col min="7" max="7" width="24" hidden="0" customWidth="1"/>
    <x:col min="8" max="8" width="24" hidden="0" customWidth="1"/>
  </x:cols>
  <x:sheetData>
    <x:row r="1">
      <x:c r="A1" s="143" t="str">
        <x:v>RESIDENT EVIL 5 — PORTÃO C</x:v>
      </x:c>
      <x:c r="B1" s="143"/>
      <x:c r="C1" s="143"/>
      <x:c r="D1" s="143"/>
      <x:c r="E1" s="143"/>
      <x:c r="F1" s="143"/>
      <x:c r="G1" s="143"/>
      <x:c r="H1" s="143"/>
    </x:row>
    <x:row r="2">
      <x:c r="A2" s="138" t="str">
        <x:v>Controle</x:v>
      </x:c>
      <x:c r="B2" s="138" t="str">
        <x:v>Fórmula/valor</x:v>
      </x:c>
      <x:c r="C2" s="138" t="str">
        <x:v>Esperado</x:v>
      </x:c>
      <x:c r="D2" s="138" t="str">
        <x:v>Resultado</x:v>
      </x:c>
      <x:c r="E2" s="138" t="str">
        <x:v>Documento público</x:v>
      </x:c>
      <x:c r="F2" s="138" t="str">
        <x:v>Revisão</x:v>
      </x:c>
      <x:c r="G2" s="138" t="str">
        <x:v>Risco externo</x:v>
      </x:c>
      <x:c r="H2" s="138" t="str">
        <x:v>Status</x:v>
      </x:c>
    </x:row>
    <x:row r="3">
      <x:c r="A3" s="122" t="str">
        <x:v>Total da matriz</x:v>
      </x:c>
      <x:c r="B3" s="122" t="n">
        <x:f>COUNTA(Matriz_71!A4:A74)</x:f>
        <x:v>71</x:v>
      </x:c>
      <x:c r="C3" s="122" t="n">
        <x:v>71</x:v>
      </x:c>
      <x:c r="D3" s="122" t="str">
        <x:f>IF(B3=C3,"OK","REVISAR")</x:f>
        <x:v>OK</x:v>
      </x:c>
      <x:c r="E3" s="122" t="str">
        <x:v>Resident_Evil_5_Guia_Publico_Final.md</x:v>
      </x:c>
      <x:c r="F3" s="122" t="str">
        <x:v>26/07/2026</x:v>
      </x:c>
      <x:c r="G3" s="122" t="str">
        <x:v>Versus</x:v>
      </x:c>
      <x:c r="H3" s="122" t="str">
        <x:v>Aprovado</x:v>
      </x:c>
    </x:row>
    <x:row r="4">
      <x:c r="A4" s="122" t="str">
        <x:v>Jogo-base</x:v>
      </x:c>
      <x:c r="B4" s="122" t="n">
        <x:f>COUNTIF(Matriz_71!D4:D74,"Jogo-base")</x:f>
        <x:v>51</x:v>
      </x:c>
      <x:c r="C4" s="122" t="n">
        <x:v>51</x:v>
      </x:c>
      <x:c r="D4" s="122" t="str">
        <x:f>IF(B4=C4,"OK","REVISAR")</x:f>
        <x:v>OK</x:v>
      </x:c>
      <x:c r="E4" s="122" t="str">
        <x:v>Etapas 1–4</x:v>
      </x:c>
      <x:c r="F4" s="122" t="str">
        <x:v>26/07/2026</x:v>
      </x:c>
      <x:c r="G4" s="122" t="str">
        <x:v>Nenhum bloqueador</x:v>
      </x:c>
      <x:c r="H4" s="122" t="str">
        <x:v>Aprovado</x:v>
      </x:c>
    </x:row>
    <x:row r="5">
      <x:c r="A5" s="122" t="str">
        <x:v>Versus</x:v>
      </x:c>
      <x:c r="B5" s="122" t="n">
        <x:f>COUNTIF(Matriz_71!D4:D74,"Versus")</x:f>
        <x:v>10</x:v>
      </x:c>
      <x:c r="C5" s="122" t="n">
        <x:v>10</x:v>
      </x:c>
      <x:c r="D5" s="122" t="str">
        <x:f>IF(B5=C5,"OK","REVISAR")</x:f>
        <x:v>OK</x:v>
      </x:c>
      <x:c r="E5" s="122" t="str">
        <x:v>Etapa 5</x:v>
      </x:c>
      <x:c r="F5" s="122" t="str">
        <x:v>26/07/2026</x:v>
      </x:c>
      <x:c r="G5" s="122" t="str">
        <x:v>Servidores/parceiros</x:v>
      </x:c>
      <x:c r="H5" s="122" t="str">
        <x:v>Aprovado com monitoramento</x:v>
      </x:c>
    </x:row>
    <x:row r="6">
      <x:c r="A6" s="122" t="str">
        <x:v>Lost in Nightmares</x:v>
      </x:c>
      <x:c r="B6" s="122" t="n">
        <x:f>COUNTIF(Matriz_71!D4:D74,"Lost in Nightmares")</x:f>
        <x:v>5</x:v>
      </x:c>
      <x:c r="C6" s="122" t="n">
        <x:v>5</x:v>
      </x:c>
      <x:c r="D6" s="122" t="str">
        <x:f>IF(B6=C6,"OK","REVISAR")</x:f>
        <x:v>OK</x:v>
      </x:c>
      <x:c r="E6" s="122" t="str">
        <x:v>Etapas 6–7</x:v>
      </x:c>
      <x:c r="F6" s="122" t="str">
        <x:v>26/07/2026</x:v>
      </x:c>
      <x:c r="G6" s="122" t="str">
        <x:v>Passagem única</x:v>
      </x:c>
      <x:c r="H6" s="122" t="str">
        <x:v>Aprovado</x:v>
      </x:c>
    </x:row>
    <x:row r="7">
      <x:c r="A7" s="122" t="str">
        <x:v>Desperate Escape</x:v>
      </x:c>
      <x:c r="B7" s="122" t="n">
        <x:f>COUNTIF(Matriz_71!D4:D74,"Desperate Escape")</x:f>
        <x:v>5</x:v>
      </x:c>
      <x:c r="C7" s="122" t="n">
        <x:v>5</x:v>
      </x:c>
      <x:c r="D7" s="122" t="str">
        <x:f>IF(B7=C7,"OK","REVISAR")</x:f>
        <x:v>OK</x:v>
      </x:c>
      <x:c r="E7" s="122" t="str">
        <x:v>Etapas 8–9</x:v>
      </x:c>
      <x:c r="F7" s="122" t="str">
        <x:v>26/07/2026</x:v>
      </x:c>
      <x:c r="G7" s="122" t="str">
        <x:v>Gatilho Agitator</x:v>
      </x:c>
      <x:c r="H7" s="122" t="str">
        <x:v>Aprovado</x:v>
      </x:c>
    </x:row>
    <x:row r="8">
      <x:c r="A8" s="122" t="str">
        <x:v>Sem etapa atribuída</x:v>
      </x:c>
      <x:c r="B8" s="122" t="n">
        <x:f>COUNTBLANK(Matriz_71!K4:K74)</x:f>
        <x:v>0</x:v>
      </x:c>
      <x:c r="C8" s="122" t="n">
        <x:v>0</x:v>
      </x:c>
      <x:c r="D8" s="122" t="str">
        <x:f>IF(B8=C8,"OK","REVISAR")</x:f>
        <x:v>OK</x:v>
      </x:c>
      <x:c r="E8" s="122" t="str">
        <x:v>Matriz_71</x:v>
      </x:c>
      <x:c r="F8" s="122" t="str">
        <x:v>26/07/2026</x:v>
      </x:c>
      <x:c r="G8" s="122" t="str">
        <x:v>Nenhum</x:v>
      </x:c>
      <x:c r="H8" s="122" t="str">
        <x:v>Aprovado</x:v>
      </x:c>
    </x:row>
    <x:row r="9">
      <x:c r="A9" s="122" t="str">
        <x:v>Sem método executável</x:v>
      </x:c>
      <x:c r="B9" s="122" t="n">
        <x:f>COUNTBLANK(Matriz_71!O4:O74)</x:f>
        <x:v>0</x:v>
      </x:c>
      <x:c r="C9" s="122" t="n">
        <x:v>0</x:v>
      </x:c>
      <x:c r="D9" s="122" t="str">
        <x:f>IF(B9=C9,"OK","REVISAR")</x:f>
        <x:v>OK</x:v>
      </x:c>
      <x:c r="E9" s="122" t="str">
        <x:v>Matriz_71</x:v>
      </x:c>
      <x:c r="F9" s="122" t="str">
        <x:v>26/07/2026</x:v>
      </x:c>
      <x:c r="G9" s="122" t="str">
        <x:v>Nenhum</x:v>
      </x:c>
      <x:c r="H9" s="122" t="str">
        <x:v>Aprovado</x:v>
      </x:c>
    </x:row>
    <x:row r="10">
      <x:c r="A10" s="122"/>
      <x:c r="B10" s="122"/>
      <x:c r="C10" s="122"/>
      <x:c r="D10" s="122"/>
      <x:c r="E10" s="122"/>
      <x:c r="F10" s="122"/>
      <x:c r="G10" s="122"/>
      <x:c r="H10" s="122"/>
    </x:row>
    <x:row r="11">
      <x:c r="A11" s="140" t="str">
        <x:v>Teste final</x:v>
      </x:c>
      <x:c r="B11" s="140" t="str">
        <x:v>Total oficial</x:v>
      </x:c>
      <x:c r="C11" s="140" t="str">
        <x:v>Matriz</x:v>
      </x:c>
      <x:c r="D11" s="140" t="str">
        <x:v>Rota pública</x:v>
      </x:c>
      <x:c r="E11" s="140" t="str">
        <x:v>Base/DLC separados</x:v>
      </x:c>
      <x:c r="F11" s="140" t="str">
        <x:v>Perdíveis/online</x:v>
      </x:c>
      <x:c r="G11" s="140" t="str">
        <x:v>Coletáveis</x:v>
      </x:c>
      <x:c r="H11" s="140" t="str">
        <x:v>Veredito</x:v>
      </x:c>
    </x:row>
    <x:row r="12">
      <x:c r="A12" s="144" t="str">
        <x:v>Cobertura 1:1</x:v>
      </x:c>
      <x:c r="B12" s="144" t="n">
        <x:v>71</x:v>
      </x:c>
      <x:c r="C12" s="144" t="n">
        <x:v>71</x:v>
      </x:c>
      <x:c r="D12" s="144" t="n">
        <x:v>71</x:v>
      </x:c>
      <x:c r="E12" s="144" t="str">
        <x:v>Sim</x:v>
      </x:c>
      <x:c r="F12" s="144" t="str">
        <x:v>Sinalizados</x:v>
      </x:c>
      <x:c r="G12" s="144" t="str">
        <x:v>30/50/18</x:v>
      </x:c>
      <x:c r="H12" s="144" t="str">
        <x:v>PORTÃO C APROVADO</x:v>
      </x:c>
    </x:row>
  </x:sheetData>
  <x:mergeCells>
    <x:mergeCell ref="A1:H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2" hidden="0" customWidth="1"/>
    <x:col min="4" max="4" width="22" hidden="0" customWidth="1"/>
    <x:col min="5" max="5" width="34" hidden="0" customWidth="1"/>
    <x:col min="6" max="6" width="28" hidden="0" customWidth="1"/>
    <x:col min="7" max="7" width="38" hidden="0" customWidth="1"/>
    <x:col min="8" max="8" width="12" hidden="0" customWidth="1"/>
  </x:cols>
  <x:sheetData>
    <x:row r="1">
      <x:c r="A1" s="143" t="str">
        <x:v>COBERTURA PÚBLICA 71/71</x:v>
      </x:c>
      <x:c r="B1" s="143"/>
      <x:c r="C1" s="143"/>
      <x:c r="D1" s="143"/>
      <x:c r="E1" s="143"/>
      <x:c r="F1" s="143"/>
      <x:c r="G1" s="143"/>
      <x:c r="H1" s="143"/>
    </x:row>
    <x:row r="2">
      <x:c r="A2" s="138" t="str">
        <x:v>ID</x:v>
      </x:c>
      <x:c r="B2" s="138" t="str">
        <x:v>Troféu</x:v>
      </x:c>
      <x:c r="C2" s="138" t="str">
        <x:v>Tipo</x:v>
      </x:c>
      <x:c r="D2" s="138" t="str">
        <x:v>Pacote</x:v>
      </x:c>
      <x:c r="E2" s="138" t="str">
        <x:v>Etapa</x:v>
      </x:c>
      <x:c r="F2" s="138" t="str">
        <x:v>Momento</x:v>
      </x:c>
      <x:c r="G2" s="138" t="str">
        <x:v>Seção pública</x:v>
      </x:c>
      <x:c r="H2" s="138" t="str">
        <x:v>Coberto</x:v>
      </x:c>
    </x:row>
    <x:row r="3">
      <x:c r="A3" s="145" t="str">
        <x:v>001</x:v>
      </x:c>
      <x:c r="B3" s="145" t="str">
        <x:v>RESIDENT EVIL 5 Platinum Trophy</x:v>
      </x:c>
      <x:c r="C3" s="145" t="str">
        <x:v>Platina</x:v>
      </x:c>
      <x:c r="D3" s="145" t="str">
        <x:v>Jogo-base</x:v>
      </x:c>
      <x:c r="E3" s="145" t="str">
        <x:v>Campanha 4 — Professional / auditoria</x:v>
      </x:c>
      <x:c r="F3" s="145" t="str">
        <x:v>Após os outros 50 troféus do jogo-base</x:v>
      </x:c>
      <x:c r="G3" s="145" t="str">
        <x:v>Verificação final / Etapa 4</x:v>
      </x:c>
      <x:c r="H3" s="145" t="str">
        <x:v>Sim</x:v>
      </x:c>
    </x:row>
    <x:row r="4">
      <x:c r="A4" s="145" t="str">
        <x:v>002</x:v>
      </x:c>
      <x:c r="B4" s="145" t="str">
        <x:v>Completed Chapter 1 - 1</x:v>
      </x:c>
      <x:c r="C4" s="145" t="str">
        <x:v>Bronze</x:v>
      </x:c>
      <x:c r="D4" s="145" t="str">
        <x:v>Jogo-base</x:v>
      </x:c>
      <x:c r="E4" s="145" t="str">
        <x:v>Campanha 1 — Normal</x:v>
      </x:c>
      <x:c r="F4" s="145" t="str">
        <x:v>Fim do capítulo 1 - 1</x:v>
      </x:c>
      <x:c r="G4" s="145" t="str">
        <x:v>Etapas 1, 3 e 4</x:v>
      </x:c>
      <x:c r="H4" s="145" t="str">
        <x:v>Sim</x:v>
      </x:c>
    </x:row>
    <x:row r="5">
      <x:c r="A5" s="145" t="str">
        <x:v>003</x:v>
      </x:c>
      <x:c r="B5" s="145" t="str">
        <x:v>Completed Chapter 1 - 2</x:v>
      </x:c>
      <x:c r="C5" s="145" t="str">
        <x:v>Bronze</x:v>
      </x:c>
      <x:c r="D5" s="145" t="str">
        <x:v>Jogo-base</x:v>
      </x:c>
      <x:c r="E5" s="145" t="str">
        <x:v>Campanha 1 — Normal</x:v>
      </x:c>
      <x:c r="F5" s="145" t="str">
        <x:v>Fim do capítulo 1 - 2</x:v>
      </x:c>
      <x:c r="G5" s="145" t="str">
        <x:v>Etapas 1, 3 e 4</x:v>
      </x:c>
      <x:c r="H5" s="145" t="str">
        <x:v>Sim</x:v>
      </x:c>
    </x:row>
    <x:row r="6">
      <x:c r="A6" s="145" t="str">
        <x:v>004</x:v>
      </x:c>
      <x:c r="B6" s="145" t="str">
        <x:v>Completed Chapter 2 - 1</x:v>
      </x:c>
      <x:c r="C6" s="145" t="str">
        <x:v>Bronze</x:v>
      </x:c>
      <x:c r="D6" s="145" t="str">
        <x:v>Jogo-base</x:v>
      </x:c>
      <x:c r="E6" s="145" t="str">
        <x:v>Campanha 1 — Normal</x:v>
      </x:c>
      <x:c r="F6" s="145" t="str">
        <x:v>Fim do capítulo 2 - 1</x:v>
      </x:c>
      <x:c r="G6" s="145" t="str">
        <x:v>Etapas 1, 3 e 4</x:v>
      </x:c>
      <x:c r="H6" s="145" t="str">
        <x:v>Sim</x:v>
      </x:c>
    </x:row>
    <x:row r="7">
      <x:c r="A7" s="145" t="str">
        <x:v>005</x:v>
      </x:c>
      <x:c r="B7" s="145" t="str">
        <x:v>Completed Chapter 2 - 2</x:v>
      </x:c>
      <x:c r="C7" s="145" t="str">
        <x:v>Bronze</x:v>
      </x:c>
      <x:c r="D7" s="145" t="str">
        <x:v>Jogo-base</x:v>
      </x:c>
      <x:c r="E7" s="145" t="str">
        <x:v>Campanha 1 — Normal</x:v>
      </x:c>
      <x:c r="F7" s="145" t="str">
        <x:v>Fim do capítulo 2 - 2</x:v>
      </x:c>
      <x:c r="G7" s="145" t="str">
        <x:v>Etapas 1, 3 e 4</x:v>
      </x:c>
      <x:c r="H7" s="145" t="str">
        <x:v>Sim</x:v>
      </x:c>
    </x:row>
    <x:row r="8">
      <x:c r="A8" s="145" t="str">
        <x:v>006</x:v>
      </x:c>
      <x:c r="B8" s="145" t="str">
        <x:v>Completed Chapter 2 - 3</x:v>
      </x:c>
      <x:c r="C8" s="145" t="str">
        <x:v>Bronze</x:v>
      </x:c>
      <x:c r="D8" s="145" t="str">
        <x:v>Jogo-base</x:v>
      </x:c>
      <x:c r="E8" s="145" t="str">
        <x:v>Campanha 1 — Normal</x:v>
      </x:c>
      <x:c r="F8" s="145" t="str">
        <x:v>Fim do capítulo 2 - 3</x:v>
      </x:c>
      <x:c r="G8" s="145" t="str">
        <x:v>Etapas 1, 3 e 4</x:v>
      </x:c>
      <x:c r="H8" s="145" t="str">
        <x:v>Sim</x:v>
      </x:c>
    </x:row>
    <x:row r="9">
      <x:c r="A9" s="145" t="str">
        <x:v>007</x:v>
      </x:c>
      <x:c r="B9" s="145" t="str">
        <x:v>Completed Chapter 3 - 1</x:v>
      </x:c>
      <x:c r="C9" s="145" t="str">
        <x:v>Bronze</x:v>
      </x:c>
      <x:c r="D9" s="145" t="str">
        <x:v>Jogo-base</x:v>
      </x:c>
      <x:c r="E9" s="145" t="str">
        <x:v>Campanha 1 — Normal</x:v>
      </x:c>
      <x:c r="F9" s="145" t="str">
        <x:v>Fim do capítulo 3 - 1</x:v>
      </x:c>
      <x:c r="G9" s="145" t="str">
        <x:v>Etapas 1, 3 e 4</x:v>
      </x:c>
      <x:c r="H9" s="145" t="str">
        <x:v>Sim</x:v>
      </x:c>
    </x:row>
    <x:row r="10">
      <x:c r="A10" s="145" t="str">
        <x:v>008</x:v>
      </x:c>
      <x:c r="B10" s="145" t="str">
        <x:v>Completed Chapter 3 - 2</x:v>
      </x:c>
      <x:c r="C10" s="145" t="str">
        <x:v>Bronze</x:v>
      </x:c>
      <x:c r="D10" s="145" t="str">
        <x:v>Jogo-base</x:v>
      </x:c>
      <x:c r="E10" s="145" t="str">
        <x:v>Campanha 1 — Normal</x:v>
      </x:c>
      <x:c r="F10" s="145" t="str">
        <x:v>Fim do capítulo 3 - 2</x:v>
      </x:c>
      <x:c r="G10" s="145" t="str">
        <x:v>Etapas 1, 3 e 4</x:v>
      </x:c>
      <x:c r="H10" s="145" t="str">
        <x:v>Sim</x:v>
      </x:c>
    </x:row>
    <x:row r="11">
      <x:c r="A11" s="145" t="str">
        <x:v>009</x:v>
      </x:c>
      <x:c r="B11" s="145" t="str">
        <x:v>Completed Chapter 3 - 3</x:v>
      </x:c>
      <x:c r="C11" s="145" t="str">
        <x:v>Bronze</x:v>
      </x:c>
      <x:c r="D11" s="145" t="str">
        <x:v>Jogo-base</x:v>
      </x:c>
      <x:c r="E11" s="145" t="str">
        <x:v>Campanha 1 — Normal</x:v>
      </x:c>
      <x:c r="F11" s="145" t="str">
        <x:v>Fim do capítulo 3 - 3</x:v>
      </x:c>
      <x:c r="G11" s="145" t="str">
        <x:v>Etapas 1, 3 e 4</x:v>
      </x:c>
      <x:c r="H11" s="145" t="str">
        <x:v>Sim</x:v>
      </x:c>
    </x:row>
    <x:row r="12">
      <x:c r="A12" s="145" t="str">
        <x:v>010</x:v>
      </x:c>
      <x:c r="B12" s="145" t="str">
        <x:v>Completed Chapter 4 - 1</x:v>
      </x:c>
      <x:c r="C12" s="145" t="str">
        <x:v>Bronze</x:v>
      </x:c>
      <x:c r="D12" s="145" t="str">
        <x:v>Jogo-base</x:v>
      </x:c>
      <x:c r="E12" s="145" t="str">
        <x:v>Campanha 1 — Normal</x:v>
      </x:c>
      <x:c r="F12" s="145" t="str">
        <x:v>Fim do capítulo 4 - 1</x:v>
      </x:c>
      <x:c r="G12" s="145" t="str">
        <x:v>Etapas 1, 3 e 4</x:v>
      </x:c>
      <x:c r="H12" s="145" t="str">
        <x:v>Sim</x:v>
      </x:c>
    </x:row>
    <x:row r="13">
      <x:c r="A13" s="145" t="str">
        <x:v>011</x:v>
      </x:c>
      <x:c r="B13" s="145" t="str">
        <x:v>Completed Chapter 4 - 2</x:v>
      </x:c>
      <x:c r="C13" s="145" t="str">
        <x:v>Bronze</x:v>
      </x:c>
      <x:c r="D13" s="145" t="str">
        <x:v>Jogo-base</x:v>
      </x:c>
      <x:c r="E13" s="145" t="str">
        <x:v>Campanha 1 — Normal</x:v>
      </x:c>
      <x:c r="F13" s="145" t="str">
        <x:v>Fim do capítulo 4 - 2</x:v>
      </x:c>
      <x:c r="G13" s="145" t="str">
        <x:v>Etapas 1, 3 e 4</x:v>
      </x:c>
      <x:c r="H13" s="145" t="str">
        <x:v>Sim</x:v>
      </x:c>
    </x:row>
    <x:row r="14">
      <x:c r="A14" s="145" t="str">
        <x:v>012</x:v>
      </x:c>
      <x:c r="B14" s="145" t="str">
        <x:v>Completed Chapter 5 - 1</x:v>
      </x:c>
      <x:c r="C14" s="145" t="str">
        <x:v>Bronze</x:v>
      </x:c>
      <x:c r="D14" s="145" t="str">
        <x:v>Jogo-base</x:v>
      </x:c>
      <x:c r="E14" s="145" t="str">
        <x:v>Campanha 1 — Normal</x:v>
      </x:c>
      <x:c r="F14" s="145" t="str">
        <x:v>Fim do capítulo 5 - 1</x:v>
      </x:c>
      <x:c r="G14" s="145" t="str">
        <x:v>Etapas 1, 3 e 4</x:v>
      </x:c>
      <x:c r="H14" s="145" t="str">
        <x:v>Sim</x:v>
      </x:c>
    </x:row>
    <x:row r="15">
      <x:c r="A15" s="145" t="str">
        <x:v>013</x:v>
      </x:c>
      <x:c r="B15" s="145" t="str">
        <x:v>Completed Chapter 5 - 2</x:v>
      </x:c>
      <x:c r="C15" s="145" t="str">
        <x:v>Bronze</x:v>
      </x:c>
      <x:c r="D15" s="145" t="str">
        <x:v>Jogo-base</x:v>
      </x:c>
      <x:c r="E15" s="145" t="str">
        <x:v>Campanha 1 — Normal</x:v>
      </x:c>
      <x:c r="F15" s="145" t="str">
        <x:v>Fim do capítulo 5 - 2</x:v>
      </x:c>
      <x:c r="G15" s="145" t="str">
        <x:v>Etapas 1, 3 e 4</x:v>
      </x:c>
      <x:c r="H15" s="145" t="str">
        <x:v>Sim</x:v>
      </x:c>
    </x:row>
    <x:row r="16">
      <x:c r="A16" s="145" t="str">
        <x:v>014</x:v>
      </x:c>
      <x:c r="B16" s="145" t="str">
        <x:v>Completed Chapter 5 - 3</x:v>
      </x:c>
      <x:c r="C16" s="145" t="str">
        <x:v>Bronze</x:v>
      </x:c>
      <x:c r="D16" s="145" t="str">
        <x:v>Jogo-base</x:v>
      </x:c>
      <x:c r="E16" s="145" t="str">
        <x:v>Campanha 1 — Normal</x:v>
      </x:c>
      <x:c r="F16" s="145" t="str">
        <x:v>Fim do capítulo 5 - 3</x:v>
      </x:c>
      <x:c r="G16" s="145" t="str">
        <x:v>Etapas 1, 3 e 4</x:v>
      </x:c>
      <x:c r="H16" s="145" t="str">
        <x:v>Sim</x:v>
      </x:c>
    </x:row>
    <x:row r="17">
      <x:c r="A17" s="145" t="str">
        <x:v>015</x:v>
      </x:c>
      <x:c r="B17" s="145" t="str">
        <x:v>Completed Chapter 6 - 1</x:v>
      </x:c>
      <x:c r="C17" s="145" t="str">
        <x:v>Bronze</x:v>
      </x:c>
      <x:c r="D17" s="145" t="str">
        <x:v>Jogo-base</x:v>
      </x:c>
      <x:c r="E17" s="145" t="str">
        <x:v>Campanha 1 — Normal</x:v>
      </x:c>
      <x:c r="F17" s="145" t="str">
        <x:v>Fim do capítulo 6 - 1</x:v>
      </x:c>
      <x:c r="G17" s="145" t="str">
        <x:v>Etapas 1, 3 e 4</x:v>
      </x:c>
      <x:c r="H17" s="145" t="str">
        <x:v>Sim</x:v>
      </x:c>
    </x:row>
    <x:row r="18">
      <x:c r="A18" s="145" t="str">
        <x:v>016</x:v>
      </x:c>
      <x:c r="B18" s="145" t="str">
        <x:v>Completed Chapter 6 - 2</x:v>
      </x:c>
      <x:c r="C18" s="145" t="str">
        <x:v>Bronze</x:v>
      </x:c>
      <x:c r="D18" s="145" t="str">
        <x:v>Jogo-base</x:v>
      </x:c>
      <x:c r="E18" s="145" t="str">
        <x:v>Campanha 1 — Normal</x:v>
      </x:c>
      <x:c r="F18" s="145" t="str">
        <x:v>Fim do capítulo 6 - 2</x:v>
      </x:c>
      <x:c r="G18" s="145" t="str">
        <x:v>Etapas 1, 3 e 4</x:v>
      </x:c>
      <x:c r="H18" s="145" t="str">
        <x:v>Sim</x:v>
      </x:c>
    </x:row>
    <x:row r="19">
      <x:c r="A19" s="145" t="str">
        <x:v>017</x:v>
      </x:c>
      <x:c r="B19" s="145" t="str">
        <x:v>Completed Chapter 6 - 3</x:v>
      </x:c>
      <x:c r="C19" s="145" t="str">
        <x:v>Bronze</x:v>
      </x:c>
      <x:c r="D19" s="145" t="str">
        <x:v>Jogo-base</x:v>
      </x:c>
      <x:c r="E19" s="145" t="str">
        <x:v>Campanha 1 — Normal</x:v>
      </x:c>
      <x:c r="F19" s="145" t="str">
        <x:v>Fim do capítulo 6 - 3</x:v>
      </x:c>
      <x:c r="G19" s="145" t="str">
        <x:v>Etapas 1, 3 e 4</x:v>
      </x:c>
      <x:c r="H19" s="145" t="str">
        <x:v>Sim</x:v>
      </x:c>
    </x:row>
    <x:row r="20">
      <x:c r="A20" s="145" t="str">
        <x:v>018</x:v>
      </x:c>
      <x:c r="B20" s="145" t="str">
        <x:v>Recruit</x:v>
      </x:c>
      <x:c r="C20" s="145" t="str">
        <x:v>Bronze</x:v>
      </x:c>
      <x:c r="D20" s="145" t="str">
        <x:v>Jogo-base</x:v>
      </x:c>
      <x:c r="E20" s="145" t="str">
        <x:v>Campanha 2 — Amateur / Chapter Select</x:v>
      </x:c>
      <x:c r="F20" s="145" t="str">
        <x:v>Após registrar os 16 capítulos em Amateur ou superior</x:v>
      </x:c>
      <x:c r="G20" s="145" t="str">
        <x:v>Etapas 1, 3 e 4</x:v>
      </x:c>
      <x:c r="H20" s="145" t="str">
        <x:v>Sim</x:v>
      </x:c>
    </x:row>
    <x:row r="21">
      <x:c r="A21" s="145" t="str">
        <x:v>019</x:v>
      </x:c>
      <x:c r="B21" s="145" t="str">
        <x:v>Soldier</x:v>
      </x:c>
      <x:c r="C21" s="145" t="str">
        <x:v>Bronze</x:v>
      </x:c>
      <x:c r="D21" s="145" t="str">
        <x:v>Jogo-base</x:v>
      </x:c>
      <x:c r="E21" s="145" t="str">
        <x:v>Campanha 1 — Normal</x:v>
      </x:c>
      <x:c r="F21" s="145" t="str">
        <x:v>Após 6-3 no Normal</x:v>
      </x:c>
      <x:c r="G21" s="145" t="str">
        <x:v>Etapas 1, 3 e 4</x:v>
      </x:c>
      <x:c r="H21" s="145" t="str">
        <x:v>Sim</x:v>
      </x:c>
    </x:row>
    <x:row r="22">
      <x:c r="A22" s="145" t="str">
        <x:v>020</x:v>
      </x:c>
      <x:c r="B22" s="145" t="str">
        <x:v>Veteran</x:v>
      </x:c>
      <x:c r="C22" s="145" t="str">
        <x:v>Prata</x:v>
      </x:c>
      <x:c r="D22" s="145" t="str">
        <x:v>Jogo-base</x:v>
      </x:c>
      <x:c r="E22" s="145" t="str">
        <x:v>Campanha 3 — Veteran</x:v>
      </x:c>
      <x:c r="F22" s="145" t="str">
        <x:v>Após 6-3 no Veteran</x:v>
      </x:c>
      <x:c r="G22" s="145" t="str">
        <x:v>Etapas 1, 3 e 4</x:v>
      </x:c>
      <x:c r="H22" s="145" t="str">
        <x:v>Sim</x:v>
      </x:c>
    </x:row>
    <x:row r="23">
      <x:c r="A23" s="145" t="str">
        <x:v>021</x:v>
      </x:c>
      <x:c r="B23" s="145" t="str">
        <x:v>War Hero</x:v>
      </x:c>
      <x:c r="C23" s="145" t="str">
        <x:v>Ouro</x:v>
      </x:c>
      <x:c r="D23" s="145" t="str">
        <x:v>Jogo-base</x:v>
      </x:c>
      <x:c r="E23" s="145" t="str">
        <x:v>Campanha 4 — Professional / auditoria</x:v>
      </x:c>
      <x:c r="F23" s="145" t="str">
        <x:v>Após registrar 16/16 em Professional</x:v>
      </x:c>
      <x:c r="G23" s="145" t="str">
        <x:v>Etapas 1, 3 e 4</x:v>
      </x:c>
      <x:c r="H23" s="145" t="str">
        <x:v>Sim</x:v>
      </x:c>
    </x:row>
    <x:row r="24">
      <x:c r="A24" s="145" t="str">
        <x:v>022</x:v>
      </x:c>
      <x:c r="B24" s="145" t="str">
        <x:v>Egg Hunt</x:v>
      </x:c>
      <x:c r="C24" s="145" t="str">
        <x:v>Bronze</x:v>
      </x:c>
      <x:c r="D24" s="145" t="str">
        <x:v>Jogo-base</x:v>
      </x:c>
      <x:c r="E24" s="145" t="str">
        <x:v>Campanha 2 — Amateur / Chapter Select</x:v>
      </x:c>
      <x:c r="F24" s="145" t="str">
        <x:v>Após obter White, Brown, Gold e Rotten Egg</x:v>
      </x:c>
      <x:c r="G24" s="145" t="str">
        <x:v>Etapa 2 — inventário e coletáveis</x:v>
      </x:c>
      <x:c r="H24" s="145" t="str">
        <x:v>Sim</x:v>
      </x:c>
    </x:row>
    <x:row r="25">
      <x:c r="A25" s="145" t="str">
        <x:v>023</x:v>
      </x:c>
      <x:c r="B25" s="145" t="str">
        <x:v>All Dressed Up</x:v>
      </x:c>
      <x:c r="C25" s="145" t="str">
        <x:v>Prata</x:v>
      </x:c>
      <x:c r="D25" s="145" t="str">
        <x:v>Jogo-base</x:v>
      </x:c>
      <x:c r="E25" s="145" t="str">
        <x:v>Campanha 2 — Amateur / Chapter Select</x:v>
      </x:c>
      <x:c r="F25" s="145" t="str">
        <x:v>Após concluir a campanha e obter 30 emblemas</x:v>
      </x:c>
      <x:c r="G25" s="145" t="str">
        <x:v>Etapa 2 — inventário e coletáveis</x:v>
      </x:c>
      <x:c r="H25" s="145" t="str">
        <x:v>Sim</x:v>
      </x:c>
    </x:row>
    <x:row r="26">
      <x:c r="A26" s="145" t="str">
        <x:v>024</x:v>
      </x:c>
      <x:c r="B26" s="145" t="str">
        <x:v>Stockpile</x:v>
      </x:c>
      <x:c r="C26" s="145" t="str">
        <x:v>Prata</x:v>
      </x:c>
      <x:c r="D26" s="145" t="str">
        <x:v>Jogo-base</x:v>
      </x:c>
      <x:c r="E26" s="145" t="str">
        <x:v>Campanha 2 — Amateur / Chapter Select</x:v>
      </x:c>
      <x:c r="F26" s="145" t="str">
        <x:v>Depois de liberar as armas especiais</x:v>
      </x:c>
      <x:c r="G26" s="145" t="str">
        <x:v>Etapa 2 — inventário e coletáveis</x:v>
      </x:c>
      <x:c r="H26" s="145" t="str">
        <x:v>Sim</x:v>
      </x:c>
    </x:row>
    <x:row r="27">
      <x:c r="A27" s="145" t="str">
        <x:v>025</x:v>
      </x:c>
      <x:c r="B27" s="145" t="str">
        <x:v>Take It to the Max</x:v>
      </x:c>
      <x:c r="C27" s="145" t="str">
        <x:v>Prata</x:v>
      </x:c>
      <x:c r="D27" s="145" t="str">
        <x:v>Jogo-base</x:v>
      </x:c>
      <x:c r="E27" s="145" t="str">
        <x:v>Campanha 2 — Amateur / Chapter Select</x:v>
      </x:c>
      <x:c r="F27" s="145" t="str">
        <x:v>Pós-jogo, após concentrar o farm de dinheiro</x:v>
      </x:c>
      <x:c r="G27" s="145" t="str">
        <x:v>Etapa 2 — inventário e coletáveis</x:v>
      </x:c>
      <x:c r="H27" s="145" t="str">
        <x:v>Sim</x:v>
      </x:c>
    </x:row>
    <x:row r="28">
      <x:c r="A28" s="145" t="str">
        <x:v>026</x:v>
      </x:c>
      <x:c r="B28" s="145" t="str">
        <x:v>They Belong in a Museum</x:v>
      </x:c>
      <x:c r="C28" s="145" t="str">
        <x:v>Prata</x:v>
      </x:c>
      <x:c r="D28" s="145" t="str">
        <x:v>Jogo-base</x:v>
      </x:c>
      <x:c r="E28" s="145" t="str">
        <x:v>Campanha 1 — Normal</x:v>
      </x:c>
      <x:c r="F28" s="145" t="str">
        <x:v>Ao registrar o 50º tipo distinto</x:v>
      </x:c>
      <x:c r="G28" s="145" t="str">
        <x:v>Etapa 2 — inventário e coletáveis</x:v>
      </x:c>
      <x:c r="H28" s="145" t="str">
        <x:v>Sim</x:v>
      </x:c>
    </x:row>
    <x:row r="29">
      <x:c r="A29" s="145" t="str">
        <x:v>027</x:v>
      </x:c>
      <x:c r="B29" s="145" t="str">
        <x:v>Badge of Honor</x:v>
      </x:c>
      <x:c r="C29" s="145" t="str">
        <x:v>Prata</x:v>
      </x:c>
      <x:c r="D29" s="145" t="str">
        <x:v>Jogo-base</x:v>
      </x:c>
      <x:c r="E29" s="145" t="str">
        <x:v>Campanha 1 — Normal</x:v>
      </x:c>
      <x:c r="F29" s="145" t="str">
        <x:v>Capítulos 1-2 a 6-1</x:v>
      </x:c>
      <x:c r="G29" s="145" t="str">
        <x:v>Etapa 2 — inventário e coletáveis</x:v>
      </x:c>
      <x:c r="H29" s="145" t="str">
        <x:v>Sim</x:v>
      </x:c>
    </x:row>
    <x:row r="30">
      <x:c r="A30" s="145" t="str">
        <x:v>028</x:v>
      </x:c>
      <x:c r="B30" s="145" t="str">
        <x:v>They're ACTION Figures!</x:v>
      </x:c>
      <x:c r="C30" s="145" t="str">
        <x:v>Prata</x:v>
      </x:c>
      <x:c r="D30" s="145" t="str">
        <x:v>Jogo-base</x:v>
      </x:c>
      <x:c r="E30" s="145" t="str">
        <x:v>Campanha 2 — Amateur / Chapter Select</x:v>
      </x:c>
      <x:c r="F30" s="145" t="str">
        <x:v>Após campanha, 30 emblemas e rank S nos 16 capítulos</x:v>
      </x:c>
      <x:c r="G30" s="145" t="str">
        <x:v>Etapa 2 — inventário e coletáveis</x:v>
      </x:c>
      <x:c r="H30" s="145" t="str">
        <x:v>Sim</x:v>
      </x:c>
    </x:row>
    <x:row r="31">
      <x:c r="A31" s="145" t="str">
        <x:v>029</x:v>
      </x:c>
      <x:c r="B31" s="145" t="str">
        <x:v>A Friend in Need</x:v>
      </x:c>
      <x:c r="C31" s="145" t="str">
        <x:v>Bronze</x:v>
      </x:c>
      <x:c r="D31" s="145" t="str">
        <x:v>Jogo-base</x:v>
      </x:c>
      <x:c r="E31" s="145" t="str">
        <x:v>Campanha 1 — Normal</x:v>
      </x:c>
      <x:c r="F31" s="145" t="str">
        <x:v>Durante qualquer capítulo</x:v>
      </x:c>
      <x:c r="G31" s="145" t="str">
        <x:v>Etapas 1–2 — métodos situacionais</x:v>
      </x:c>
      <x:c r="H31" s="145" t="str">
        <x:v>Sim</x:v>
      </x:c>
    </x:row>
    <x:row r="32">
      <x:c r="A32" s="145" t="str">
        <x:v>030</x:v>
      </x:c>
      <x:c r="B32" s="145" t="str">
        <x:v>Lifeguard</x:v>
      </x:c>
      <x:c r="C32" s="145" t="str">
        <x:v>Bronze</x:v>
      </x:c>
      <x:c r="D32" s="145" t="str">
        <x:v>Jogo-base</x:v>
      </x:c>
      <x:c r="E32" s="145" t="str">
        <x:v>Campanha 1 — Normal</x:v>
      </x:c>
      <x:c r="F32" s="145" t="str">
        <x:v>Durante qualquer capítulo</x:v>
      </x:c>
      <x:c r="G32" s="145" t="str">
        <x:v>Etapas 1–2 — métodos situacionais</x:v>
      </x:c>
      <x:c r="H32" s="145" t="str">
        <x:v>Sim</x:v>
      </x:c>
    </x:row>
    <x:row r="33">
      <x:c r="A33" s="145" t="str">
        <x:v>031</x:v>
      </x:c>
      <x:c r="B33" s="145" t="str">
        <x:v>Exploding Heads</x:v>
      </x:c>
      <x:c r="C33" s="145" t="str">
        <x:v>Bronze</x:v>
      </x:c>
      <x:c r="D33" s="145" t="str">
        <x:v>Jogo-base</x:v>
      </x:c>
      <x:c r="E33" s="145" t="str">
        <x:v>Campanha 1 — Normal</x:v>
      </x:c>
      <x:c r="F33" s="145" t="str">
        <x:v>Qualquer capítulo</x:v>
      </x:c>
      <x:c r="G33" s="145" t="str">
        <x:v>Etapas 1–2 — métodos situacionais</x:v>
      </x:c>
      <x:c r="H33" s="145" t="str">
        <x:v>Sim</x:v>
      </x:c>
    </x:row>
    <x:row r="34">
      <x:c r="A34" s="145" t="str">
        <x:v>032</x:v>
      </x:c>
      <x:c r="B34" s="145" t="str">
        <x:v>A Cut Above</x:v>
      </x:c>
      <x:c r="C34" s="145" t="str">
        <x:v>Bronze</x:v>
      </x:c>
      <x:c r="D34" s="145" t="str">
        <x:v>Jogo-base</x:v>
      </x:c>
      <x:c r="E34" s="145" t="str">
        <x:v>Campanha 1 — Normal</x:v>
      </x:c>
      <x:c r="F34" s="145" t="str">
        <x:v>Início da campanha</x:v>
      </x:c>
      <x:c r="G34" s="145" t="str">
        <x:v>Etapas 1–2 — métodos situacionais</x:v>
      </x:c>
      <x:c r="H34" s="145" t="str">
        <x:v>Sim</x:v>
      </x:c>
    </x:row>
    <x:row r="35">
      <x:c r="A35" s="145" t="str">
        <x:v>033</x:v>
      </x:c>
      <x:c r="B35" s="145" t="str">
        <x:v>Cattle Prod</x:v>
      </x:c>
      <x:c r="C35" s="145" t="str">
        <x:v>Bronze</x:v>
      </x:c>
      <x:c r="D35" s="145" t="str">
        <x:v>Jogo-base</x:v>
      </x:c>
      <x:c r="E35" s="145" t="str">
        <x:v>Campanha 2 — Amateur / Chapter Select</x:v>
      </x:c>
      <x:c r="F35" s="145" t="str">
        <x:v>Após comprar Stun Rod</x:v>
      </x:c>
      <x:c r="G35" s="145" t="str">
        <x:v>Etapas 1–2 — métodos situacionais</x:v>
      </x:c>
      <x:c r="H35" s="145" t="str">
        <x:v>Sim</x:v>
      </x:c>
    </x:row>
    <x:row r="36">
      <x:c r="A36" s="145" t="str">
        <x:v>034</x:v>
      </x:c>
      <x:c r="B36" s="145" t="str">
        <x:v>Crowd Control</x:v>
      </x:c>
      <x:c r="C36" s="145" t="str">
        <x:v>Bronze</x:v>
      </x:c>
      <x:c r="D36" s="145" t="str">
        <x:v>Jogo-base</x:v>
      </x:c>
      <x:c r="E36" s="145" t="str">
        <x:v>Campanha 2 — Amateur / Chapter Select</x:v>
      </x:c>
      <x:c r="F36" s="145" t="str">
        <x:v>Após campanha e VZ61 maximizada</x:v>
      </x:c>
      <x:c r="G36" s="145" t="str">
        <x:v>Etapas 1–2 — métodos situacionais</x:v>
      </x:c>
      <x:c r="H36" s="145" t="str">
        <x:v>Sim</x:v>
      </x:c>
    </x:row>
    <x:row r="37">
      <x:c r="A37" s="145" t="str">
        <x:v>035</x:v>
      </x:c>
      <x:c r="B37" s="145" t="str">
        <x:v>Bull's-eye</x:v>
      </x:c>
      <x:c r="C37" s="145" t="str">
        <x:v>Bronze</x:v>
      </x:c>
      <x:c r="D37" s="145" t="str">
        <x:v>Jogo-base</x:v>
      </x:c>
      <x:c r="E37" s="145" t="str">
        <x:v>Campanha 2 — Amateur / Chapter Select</x:v>
      </x:c>
      <x:c r="F37" s="145" t="str">
        <x:v>Após campanha e S75 maximizada</x:v>
      </x:c>
      <x:c r="G37" s="145" t="str">
        <x:v>Etapas 1–2 — métodos situacionais</x:v>
      </x:c>
      <x:c r="H37" s="145" t="str">
        <x:v>Sim</x:v>
      </x:c>
    </x:row>
    <x:row r="38">
      <x:c r="A38" s="145" t="str">
        <x:v>036</x:v>
      </x:c>
      <x:c r="B38" s="145" t="str">
        <x:v>Get Physical</x:v>
      </x:c>
      <x:c r="C38" s="145" t="str">
        <x:v>Bronze</x:v>
      </x:c>
      <x:c r="D38" s="145" t="str">
        <x:v>Jogo-base</x:v>
      </x:c>
      <x:c r="E38" s="145" t="str">
        <x:v>Campanha 1 — Normal</x:v>
      </x:c>
      <x:c r="F38" s="145" t="str">
        <x:v>Qualquer capítulo</x:v>
      </x:c>
      <x:c r="G38" s="145" t="str">
        <x:v>Etapas 1–2 — métodos situacionais</x:v>
      </x:c>
      <x:c r="H38" s="145" t="str">
        <x:v>Sim</x:v>
      </x:c>
    </x:row>
    <x:row r="39">
      <x:c r="A39" s="145" t="str">
        <x:v>037</x:v>
      </x:c>
      <x:c r="B39" s="145" t="str">
        <x:v>The Works</x:v>
      </x:c>
      <x:c r="C39" s="145" t="str">
        <x:v>Bronze</x:v>
      </x:c>
      <x:c r="D39" s="145" t="str">
        <x:v>Jogo-base</x:v>
      </x:c>
      <x:c r="E39" s="145" t="str">
        <x:v>Campanha 2 — Amateur / Chapter Select</x:v>
      </x:c>
      <x:c r="F39" s="145" t="str">
        <x:v>Capítulo 2-1, Big Man Majini</x:v>
      </x:c>
      <x:c r="G39" s="145" t="str">
        <x:v>Etapas 1–2 — métodos situacionais</x:v>
      </x:c>
      <x:c r="H39" s="145" t="str">
        <x:v>Sim</x:v>
      </x:c>
    </x:row>
    <x:row r="40">
      <x:c r="A40" s="145" t="str">
        <x:v>038</x:v>
      </x:c>
      <x:c r="B40" s="145" t="str">
        <x:v>Lead Aspirin</x:v>
      </x:c>
      <x:c r="C40" s="145" t="str">
        <x:v>Prata</x:v>
      </x:c>
      <x:c r="D40" s="145" t="str">
        <x:v>Jogo-base</x:v>
      </x:c>
      <x:c r="E40" s="145" t="str">
        <x:v>Campanha 2 — Amateur / Chapter Select</x:v>
      </x:c>
      <x:c r="F40" s="145" t="str">
        <x:v>Capítulo 3-2, salto roteirizado na refinaria</x:v>
      </x:c>
      <x:c r="G40" s="145" t="str">
        <x:v>Etapas 1–2 — métodos situacionais</x:v>
      </x:c>
      <x:c r="H40" s="145" t="str">
        <x:v>Sim</x:v>
      </x:c>
    </x:row>
    <x:row r="41">
      <x:c r="A41" s="145" t="str">
        <x:v>039</x:v>
      </x:c>
      <x:c r="B41" s="145" t="str">
        <x:v>Fireworks</x:v>
      </x:c>
      <x:c r="C41" s="145" t="str">
        <x:v>Bronze</x:v>
      </x:c>
      <x:c r="D41" s="145" t="str">
        <x:v>Jogo-base</x:v>
      </x:c>
      <x:c r="E41" s="145" t="str">
        <x:v>Campanha 1 — Normal</x:v>
      </x:c>
      <x:c r="F41" s="145" t="str">
        <x:v>Capítulos com Majini explosivos</x:v>
      </x:c>
      <x:c r="G41" s="145" t="str">
        <x:v>Etapas 1–2 — métodos situacionais</x:v>
      </x:c>
      <x:c r="H41" s="145" t="str">
        <x:v>Sim</x:v>
      </x:c>
    </x:row>
    <x:row r="42">
      <x:c r="A42" s="145" t="str">
        <x:v>040</x:v>
      </x:c>
      <x:c r="B42" s="145" t="str">
        <x:v>Be the Knife</x:v>
      </x:c>
      <x:c r="C42" s="145" t="str">
        <x:v>Prata</x:v>
      </x:c>
      <x:c r="D42" s="145" t="str">
        <x:v>Jogo-base</x:v>
      </x:c>
      <x:c r="E42" s="145" t="str">
        <x:v>Campanha 2 — Amateur / Chapter Select</x:v>
      </x:c>
      <x:c r="F42" s="145" t="str">
        <x:v>Capítulo 2-1/2-2 contra arqueiro</x:v>
      </x:c>
      <x:c r="G42" s="145" t="str">
        <x:v>Etapas 1–2 — métodos situacionais</x:v>
      </x:c>
      <x:c r="H42" s="145" t="str">
        <x:v>Sim</x:v>
      </x:c>
    </x:row>
    <x:row r="43">
      <x:c r="A43" s="145" t="str">
        <x:v>041</x:v>
      </x:c>
      <x:c r="B43" s="145" t="str">
        <x:v>Meat Shower</x:v>
      </x:c>
      <x:c r="C43" s="145" t="str">
        <x:v>Bronze</x:v>
      </x:c>
      <x:c r="D43" s="145" t="str">
        <x:v>Jogo-base</x:v>
      </x:c>
      <x:c r="E43" s="145" t="str">
        <x:v>Campanha 1 — Normal</x:v>
      </x:c>
      <x:c r="F43" s="145" t="str">
        <x:v>1-1 ou área com grupo</x:v>
      </x:c>
      <x:c r="G43" s="145" t="str">
        <x:v>Etapas 1–2 — métodos situacionais</x:v>
      </x:c>
      <x:c r="H43" s="145" t="str">
        <x:v>Sim</x:v>
      </x:c>
    </x:row>
    <x:row r="44">
      <x:c r="A44" s="145" t="str">
        <x:v>042</x:v>
      </x:c>
      <x:c r="B44" s="145" t="str">
        <x:v>Go into the Light</x:v>
      </x:c>
      <x:c r="C44" s="145" t="str">
        <x:v>Bronze</x:v>
      </x:c>
      <x:c r="D44" s="145" t="str">
        <x:v>Jogo-base</x:v>
      </x:c>
      <x:c r="E44" s="145" t="str">
        <x:v>Campanha 1 — Normal</x:v>
      </x:c>
      <x:c r="F44" s="145" t="str">
        <x:v>Grupos com Plagas expostas</x:v>
      </x:c>
      <x:c r="G44" s="145" t="str">
        <x:v>Etapas 1–2 — métodos situacionais</x:v>
      </x:c>
      <x:c r="H44" s="145" t="str">
        <x:v>Sim</x:v>
      </x:c>
    </x:row>
    <x:row r="45">
      <x:c r="A45" s="145" t="str">
        <x:v>043</x:v>
      </x:c>
      <x:c r="B45" s="145" t="str">
        <x:v>Ride the Lightning</x:v>
      </x:c>
      <x:c r="C45" s="145" t="str">
        <x:v>Bronze</x:v>
      </x:c>
      <x:c r="D45" s="145" t="str">
        <x:v>Jogo-base</x:v>
      </x:c>
      <x:c r="E45" s="145" t="str">
        <x:v>Campanha 1 — Normal</x:v>
      </x:c>
      <x:c r="F45" s="145" t="str">
        <x:v>1-1, transformador</x:v>
      </x:c>
      <x:c r="G45" s="145" t="str">
        <x:v>Etapas 1–2 — métodos situacionais</x:v>
      </x:c>
      <x:c r="H45" s="145" t="str">
        <x:v>Sim</x:v>
      </x:c>
    </x:row>
    <x:row r="46">
      <x:c r="A46" s="145" t="str">
        <x:v>044</x:v>
      </x:c>
      <x:c r="B46" s="145" t="str">
        <x:v>Stop, Drop, &amp; Roll</x:v>
      </x:c>
      <x:c r="C46" s="145" t="str">
        <x:v>Bronze</x:v>
      </x:c>
      <x:c r="D46" s="145" t="str">
        <x:v>Jogo-base</x:v>
      </x:c>
      <x:c r="E46" s="145" t="str">
        <x:v>Campanha 1 — Normal</x:v>
      </x:c>
      <x:c r="F46" s="145" t="str">
        <x:v>1-1, óleo</x:v>
      </x:c>
      <x:c r="G46" s="145" t="str">
        <x:v>Etapas 1–2 — métodos situacionais</x:v>
      </x:c>
      <x:c r="H46" s="145" t="str">
        <x:v>Sim</x:v>
      </x:c>
    </x:row>
    <x:row r="47">
      <x:c r="A47" s="145" t="str">
        <x:v>045</x:v>
      </x:c>
      <x:c r="B47" s="145" t="str">
        <x:v>Baptism by Fire</x:v>
      </x:c>
      <x:c r="C47" s="145" t="str">
        <x:v>Bronze</x:v>
      </x:c>
      <x:c r="D47" s="145" t="str">
        <x:v>Jogo-base</x:v>
      </x:c>
      <x:c r="E47" s="145" t="str">
        <x:v>Campanha 1 — Normal</x:v>
      </x:c>
      <x:c r="F47" s="145" t="str">
        <x:v>1-1/1-2, barril ou tanque</x:v>
      </x:c>
      <x:c r="G47" s="145" t="str">
        <x:v>Etapas 1–2 — métodos situacionais</x:v>
      </x:c>
      <x:c r="H47" s="145" t="str">
        <x:v>Sim</x:v>
      </x:c>
    </x:row>
    <x:row r="48">
      <x:c r="A48" s="145" t="str">
        <x:v>046</x:v>
      </x:c>
      <x:c r="B48" s="145" t="str">
        <x:v>Masters of Removing</x:v>
      </x:c>
      <x:c r="C48" s="145" t="str">
        <x:v>Bronze</x:v>
      </x:c>
      <x:c r="D48" s="145" t="str">
        <x:v>Jogo-base</x:v>
      </x:c>
      <x:c r="E48" s="145" t="str">
        <x:v>Campanha 1 — Normal</x:v>
      </x:c>
      <x:c r="F48" s="145" t="str">
        <x:v>5-3, fase de Jill</x:v>
      </x:c>
      <x:c r="G48" s="145" t="str">
        <x:v>Etapas 1–2 — métodos situacionais</x:v>
      </x:c>
      <x:c r="H48" s="145" t="str">
        <x:v>Sim</x:v>
      </x:c>
    </x:row>
    <x:row r="49">
      <x:c r="A49" s="145" t="str">
        <x:v>047</x:v>
      </x:c>
      <x:c r="B49" s="145" t="str">
        <x:v>Bad Blood</x:v>
      </x:c>
      <x:c r="C49" s="145" t="str">
        <x:v>Bronze</x:v>
      </x:c>
      <x:c r="D49" s="145" t="str">
        <x:v>Jogo-base</x:v>
      </x:c>
      <x:c r="E49" s="145" t="str">
        <x:v>Campanha 1 — Normal</x:v>
      </x:c>
      <x:c r="F49" s="145" t="str">
        <x:v>Primeiro confronto com Wesker, antes de 7 minutos</x:v>
      </x:c>
      <x:c r="G49" s="145" t="str">
        <x:v>Etapas 1–2 — métodos situacionais</x:v>
      </x:c>
      <x:c r="H49" s="145" t="str">
        <x:v>Sim</x:v>
      </x:c>
    </x:row>
    <x:row r="50">
      <x:c r="A50" s="145" t="str">
        <x:v>048</x:v>
      </x:c>
      <x:c r="B50" s="145" t="str">
        <x:v>Drive By</x:v>
      </x:c>
      <x:c r="C50" s="145" t="str">
        <x:v>Prata</x:v>
      </x:c>
      <x:c r="D50" s="145" t="str">
        <x:v>Jogo-base</x:v>
      </x:c>
      <x:c r="E50" s="145" t="str">
        <x:v>Campanha 1 — Normal</x:v>
      </x:c>
      <x:c r="F50" s="145" t="str">
        <x:v>2-3, perseguição do caminhão blindado</x:v>
      </x:c>
      <x:c r="G50" s="145" t="str">
        <x:v>Etapas 1–2 — métodos situacionais</x:v>
      </x:c>
      <x:c r="H50" s="145" t="str">
        <x:v>Sim</x:v>
      </x:c>
    </x:row>
    <x:row r="51">
      <x:c r="A51" s="145" t="str">
        <x:v>049</x:v>
      </x:c>
      <x:c r="B51" s="145" t="str">
        <x:v>Egg on Your Face</x:v>
      </x:c>
      <x:c r="C51" s="145" t="str">
        <x:v>Bronze</x:v>
      </x:c>
      <x:c r="D51" s="145" t="str">
        <x:v>Jogo-base</x:v>
      </x:c>
      <x:c r="E51" s="145" t="str">
        <x:v>Campanha 2 — Amateur / Chapter Select</x:v>
      </x:c>
      <x:c r="F51" s="145" t="str">
        <x:v>Qualquer Majini em Amateur</x:v>
      </x:c>
      <x:c r="G51" s="145" t="str">
        <x:v>Etapas 1–2 — métodos situacionais</x:v>
      </x:c>
      <x:c r="H51" s="145" t="str">
        <x:v>Sim</x:v>
      </x:c>
    </x:row>
    <x:row r="52">
      <x:c r="A52" s="145" t="str">
        <x:v>050</x:v>
      </x:c>
      <x:c r="B52" s="145" t="str">
        <x:v>Heart Stopper</x:v>
      </x:c>
      <x:c r="C52" s="145" t="str">
        <x:v>Bronze</x:v>
      </x:c>
      <x:c r="D52" s="145" t="str">
        <x:v>Jogo-base</x:v>
      </x:c>
      <x:c r="E52" s="145" t="str">
        <x:v>Campanha 1 — Normal</x:v>
      </x:c>
      <x:c r="F52" s="145" t="str">
        <x:v>5-1 a 5-3</x:v>
      </x:c>
      <x:c r="G52" s="145" t="str">
        <x:v>Etapas 1–2 — métodos situacionais</x:v>
      </x:c>
      <x:c r="H52" s="145" t="str">
        <x:v>Sim</x:v>
      </x:c>
    </x:row>
    <x:row r="53">
      <x:c r="A53" s="145" t="str">
        <x:v>051</x:v>
      </x:c>
      <x:c r="B53" s="145" t="str">
        <x:v>Who Do You Trust?</x:v>
      </x:c>
      <x:c r="C53" s="145" t="str">
        <x:v>Prata</x:v>
      </x:c>
      <x:c r="D53" s="145" t="str">
        <x:v>Jogo-base</x:v>
      </x:c>
      <x:c r="E53" s="145" t="str">
        <x:v>Campanha 2 — Amateur / Chapter Select</x:v>
      </x:c>
      <x:c r="F53" s="145" t="str">
        <x:v>Sessão solo; loop controlado</x:v>
      </x:c>
      <x:c r="G53" s="145" t="str">
        <x:v>Etapas 1–2 — métodos situacionais</x:v>
      </x:c>
      <x:c r="H53" s="145" t="str">
        <x:v>Sim</x:v>
      </x:c>
    </x:row>
    <x:row r="54">
      <x:c r="A54" s="145" t="str">
        <x:v>052</x:v>
      </x:c>
      <x:c r="B54" s="145" t="str">
        <x:v>Army of One</x:v>
      </x:c>
      <x:c r="C54" s="145" t="str">
        <x:v>Bronze</x:v>
      </x:c>
      <x:c r="D54" s="145" t="str">
        <x:v>Versus</x:v>
      </x:c>
      <x:c r="E54" s="145" t="str">
        <x:v>Versus — boost organizado</x:v>
      </x:c>
      <x:c r="F54" s="145" t="str">
        <x:v>Slayers</x:v>
      </x:c>
      <x:c r="G54" s="145" t="str">
        <x:v>Após a platina — Versus</x:v>
      </x:c>
      <x:c r="H54" s="145" t="str">
        <x:v>Sim</x:v>
      </x:c>
    </x:row>
    <x:row r="55">
      <x:c r="A55" s="145" t="str">
        <x:v>053</x:v>
      </x:c>
      <x:c r="B55" s="145" t="str">
        <x:v>Eye of the Tiger</x:v>
      </x:c>
      <x:c r="C55" s="145" t="str">
        <x:v>Bronze</x:v>
      </x:c>
      <x:c r="D55" s="145" t="str">
        <x:v>Versus</x:v>
      </x:c>
      <x:c r="E55" s="145" t="str">
        <x:v>Versus — boost organizado</x:v>
      </x:c>
      <x:c r="F55" s="145" t="str">
        <x:v>Survivors</x:v>
      </x:c>
      <x:c r="G55" s="145" t="str">
        <x:v>Após a platina — Versus</x:v>
      </x:c>
      <x:c r="H55" s="145" t="str">
        <x:v>Sim</x:v>
      </x:c>
    </x:row>
    <x:row r="56">
      <x:c r="A56" s="145" t="str">
        <x:v>054</x:v>
      </x:c>
      <x:c r="B56" s="145" t="str">
        <x:v>The Team That Slays Together...</x:v>
      </x:c>
      <x:c r="C56" s="145" t="str">
        <x:v>Prata</x:v>
      </x:c>
      <x:c r="D56" s="145" t="str">
        <x:v>Versus</x:v>
      </x:c>
      <x:c r="E56" s="145" t="str">
        <x:v>Versus — boost organizado</x:v>
      </x:c>
      <x:c r="F56" s="145" t="str">
        <x:v>Team Slayers</x:v>
      </x:c>
      <x:c r="G56" s="145" t="str">
        <x:v>Após a platina — Versus</x:v>
      </x:c>
      <x:c r="H56" s="145" t="str">
        <x:v>Sim</x:v>
      </x:c>
    </x:row>
    <x:row r="57">
      <x:c r="A57" s="145" t="str">
        <x:v>055</x:v>
      </x:c>
      <x:c r="B57" s="145" t="str">
        <x:v>We Will Survive</x:v>
      </x:c>
      <x:c r="C57" s="145" t="str">
        <x:v>Prata</x:v>
      </x:c>
      <x:c r="D57" s="145" t="str">
        <x:v>Versus</x:v>
      </x:c>
      <x:c r="E57" s="145" t="str">
        <x:v>Versus — boost organizado</x:v>
      </x:c>
      <x:c r="F57" s="145" t="str">
        <x:v>Team Survivors</x:v>
      </x:c>
      <x:c r="G57" s="145" t="str">
        <x:v>Após a platina — Versus</x:v>
      </x:c>
      <x:c r="H57" s="145" t="str">
        <x:v>Sim</x:v>
      </x:c>
    </x:row>
    <x:row r="58">
      <x:c r="A58" s="145" t="str">
        <x:v>056</x:v>
      </x:c>
      <x:c r="B58" s="145" t="str">
        <x:v>Keep the Good Times Rolling</x:v>
      </x:c>
      <x:c r="C58" s="145" t="str">
        <x:v>Bronze</x:v>
      </x:c>
      <x:c r="D58" s="145" t="str">
        <x:v>Versus</x:v>
      </x:c>
      <x:c r="E58" s="145" t="str">
        <x:v>Versus — boost organizado</x:v>
      </x:c>
      <x:c r="F58" s="145" t="str">
        <x:v>Slayers</x:v>
      </x:c>
      <x:c r="G58" s="145" t="str">
        <x:v>Após a platina — Versus</x:v>
      </x:c>
      <x:c r="H58" s="145" t="str">
        <x:v>Sim</x:v>
      </x:c>
    </x:row>
    <x:row r="59">
      <x:c r="A59" s="145" t="str">
        <x:v>057</x:v>
      </x:c>
      <x:c r="B59" s="145" t="str">
        <x:v>It Takes Two to Tango</x:v>
      </x:c>
      <x:c r="C59" s="145" t="str">
        <x:v>Bronze</x:v>
      </x:c>
      <x:c r="D59" s="145" t="str">
        <x:v>Versus</x:v>
      </x:c>
      <x:c r="E59" s="145" t="str">
        <x:v>Versus — boost organizado</x:v>
      </x:c>
      <x:c r="F59" s="145" t="str">
        <x:v>Team Slayers</x:v>
      </x:c>
      <x:c r="G59" s="145" t="str">
        <x:v>Após a platina — Versus</x:v>
      </x:c>
      <x:c r="H59" s="145" t="str">
        <x:v>Sim</x:v>
      </x:c>
    </x:row>
    <x:row r="60">
      <x:c r="A60" s="145" t="str">
        <x:v>058</x:v>
      </x:c>
      <x:c r="B60" s="145" t="str">
        <x:v>It's All About the Points</x:v>
      </x:c>
      <x:c r="C60" s="145" t="str">
        <x:v>Bronze</x:v>
      </x:c>
      <x:c r="D60" s="145" t="str">
        <x:v>Versus</x:v>
      </x:c>
      <x:c r="E60" s="145" t="str">
        <x:v>Versus — boost organizado</x:v>
      </x:c>
      <x:c r="F60" s="145" t="str">
        <x:v>Survivors</x:v>
      </x:c>
      <x:c r="G60" s="145" t="str">
        <x:v>Após a platina — Versus</x:v>
      </x:c>
      <x:c r="H60" s="145" t="str">
        <x:v>Sim</x:v>
      </x:c>
    </x:row>
    <x:row r="61">
      <x:c r="A61" s="145" t="str">
        <x:v>059</x:v>
      </x:c>
      <x:c r="B61" s="145" t="str">
        <x:v>There's no "I" in Team</x:v>
      </x:c>
      <x:c r="C61" s="145" t="str">
        <x:v>Bronze</x:v>
      </x:c>
      <x:c r="D61" s="145" t="str">
        <x:v>Versus</x:v>
      </x:c>
      <x:c r="E61" s="145" t="str">
        <x:v>Versus — boost organizado</x:v>
      </x:c>
      <x:c r="F61" s="145" t="str">
        <x:v>Team Survivors</x:v>
      </x:c>
      <x:c r="G61" s="145" t="str">
        <x:v>Após a platina — Versus</x:v>
      </x:c>
      <x:c r="H61" s="145" t="str">
        <x:v>Sim</x:v>
      </x:c>
    </x:row>
    <x:row r="62">
      <x:c r="A62" s="145" t="str">
        <x:v>060</x:v>
      </x:c>
      <x:c r="B62" s="145" t="str">
        <x:v>Let's Get This Party Started!</x:v>
      </x:c>
      <x:c r="C62" s="145" t="str">
        <x:v>Bronze</x:v>
      </x:c>
      <x:c r="D62" s="145" t="str">
        <x:v>Versus</x:v>
      </x:c>
      <x:c r="E62" s="145" t="str">
        <x:v>Versus — boost organizado</x:v>
      </x:c>
      <x:c r="F62" s="145" t="str">
        <x:v>Antes ou durante o boost</x:v>
      </x:c>
      <x:c r="G62" s="145" t="str">
        <x:v>Após a platina — Versus</x:v>
      </x:c>
      <x:c r="H62" s="145" t="str">
        <x:v>Sim</x:v>
      </x:c>
    </x:row>
    <x:row r="63">
      <x:c r="A63" s="145" t="str">
        <x:v>061</x:v>
      </x:c>
      <x:c r="B63" s="145" t="str">
        <x:v>Bringing the Pain</x:v>
      </x:c>
      <x:c r="C63" s="145" t="str">
        <x:v>Prata</x:v>
      </x:c>
      <x:c r="D63" s="145" t="str">
        <x:v>Versus</x:v>
      </x:c>
      <x:c r="E63" s="145" t="str">
        <x:v>Versus — boost organizado</x:v>
      </x:c>
      <x:c r="F63" s="145" t="str">
        <x:v>Qualquer modo Versus</x:v>
      </x:c>
      <x:c r="G63" s="145" t="str">
        <x:v>Após a platina — Versus</x:v>
      </x:c>
      <x:c r="H63" s="145" t="str">
        <x:v>Sim</x:v>
      </x:c>
    </x:row>
    <x:row r="64">
      <x:c r="A64" s="145" t="str">
        <x:v>062</x:v>
      </x:c>
      <x:c r="B64" s="145" t="str">
        <x:v>Must've Got Lost</x:v>
      </x:c>
      <x:c r="C64" s="145" t="str">
        <x:v>Bronze</x:v>
      </x:c>
      <x:c r="D64" s="145" t="str">
        <x:v>Lost in Nightmares</x:v>
      </x:c>
      <x:c r="E64" s="145" t="str">
        <x:v>Lost — Passagem 1 (Amateur)</x:v>
      </x:c>
      <x:c r="F64" s="145" t="str">
        <x:v>Fim do episódio</x:v>
      </x:c>
      <x:c r="G64" s="145" t="str">
        <x:v>Após a platina — Lost in Nightmares</x:v>
      </x:c>
      <x:c r="H64" s="145" t="str">
        <x:v>Sim</x:v>
      </x:c>
    </x:row>
    <x:row r="65">
      <x:c r="A65" s="145" t="str">
        <x:v>063</x:v>
      </x:c>
      <x:c r="B65" s="145" t="str">
        <x:v>It's Just a Bad Dream!</x:v>
      </x:c>
      <x:c r="C65" s="145" t="str">
        <x:v>Bronze</x:v>
      </x:c>
      <x:c r="D65" s="145" t="str">
        <x:v>Lost in Nightmares</x:v>
      </x:c>
      <x:c r="E65" s="145" t="str">
        <x:v>Lost — Passagem 1 (Amateur)</x:v>
      </x:c>
      <x:c r="F65" s="145" t="str">
        <x:v>Tela de resultados</x:v>
      </x:c>
      <x:c r="G65" s="145" t="str">
        <x:v>Após a platina — Lost in Nightmares</x:v>
      </x:c>
      <x:c r="H65" s="145" t="str">
        <x:v>Sim</x:v>
      </x:c>
    </x:row>
    <x:row r="66">
      <x:c r="A66" s="145" t="str">
        <x:v>064</x:v>
      </x:c>
      <x:c r="B66" s="145" t="str">
        <x:v>Night Terrors</x:v>
      </x:c>
      <x:c r="C66" s="145" t="str">
        <x:v>Prata</x:v>
      </x:c>
      <x:c r="D66" s="145" t="str">
        <x:v>Lost in Nightmares</x:v>
      </x:c>
      <x:c r="E66" s="145" t="str">
        <x:v>Lost — Passagens 2 e 3</x:v>
      </x:c>
      <x:c r="F66" s="145" t="str">
        <x:v>Fim do episódio em Professional</x:v>
      </x:c>
      <x:c r="G66" s="145" t="str">
        <x:v>Após a platina — Lost in Nightmares</x:v>
      </x:c>
      <x:c r="H66" s="145" t="str">
        <x:v>Sim</x:v>
      </x:c>
    </x:row>
    <x:row r="67">
      <x:c r="A67" s="145" t="str">
        <x:v>065</x:v>
      </x:c>
      <x:c r="B67" s="145" t="str">
        <x:v>Kung Fu Fighting</x:v>
      </x:c>
      <x:c r="C67" s="145" t="str">
        <x:v>Bronze</x:v>
      </x:c>
      <x:c r="D67" s="145" t="str">
        <x:v>Lost in Nightmares</x:v>
      </x:c>
      <x:c r="E67" s="145" t="str">
        <x:v>Lost — Passagem 1 (Amateur)</x:v>
      </x:c>
      <x:c r="F67" s="145" t="str">
        <x:v>Confronto final com Wesker</x:v>
      </x:c>
      <x:c r="G67" s="145" t="str">
        <x:v>Após a platina — Lost in Nightmares</x:v>
      </x:c>
      <x:c r="H67" s="145" t="str">
        <x:v>Sim</x:v>
      </x:c>
    </x:row>
    <x:row r="68">
      <x:c r="A68" s="145" t="str">
        <x:v>066</x:v>
      </x:c>
      <x:c r="B68" s="145" t="str">
        <x:v>Wish Upon a Star</x:v>
      </x:c>
      <x:c r="C68" s="145" t="str">
        <x:v>Bronze</x:v>
      </x:c>
      <x:c r="D68" s="145" t="str">
        <x:v>Lost in Nightmares</x:v>
      </x:c>
      <x:c r="E68" s="145" t="str">
        <x:v>Lost — Passagem 1 (Amateur)</x:v>
      </x:c>
      <x:c r="F68" s="145" t="str">
        <x:v>18 pontos do episódio</x:v>
      </x:c>
      <x:c r="G68" s="145" t="str">
        <x:v>Após a platina — Lost in Nightmares</x:v>
      </x:c>
      <x:c r="H68" s="145" t="str">
        <x:v>Sim</x:v>
      </x:c>
    </x:row>
    <x:row r="69">
      <x:c r="A69" s="145" t="str">
        <x:v>067</x:v>
      </x:c>
      <x:c r="B69" s="145" t="str">
        <x:v>Getaway</x:v>
      </x:c>
      <x:c r="C69" s="145" t="str">
        <x:v>Bronze</x:v>
      </x:c>
      <x:c r="D69" s="145" t="str">
        <x:v>Desperate Escape</x:v>
      </x:c>
      <x:c r="E69" s="145" t="str">
        <x:v>DE — Passagem 1 (Amateur)</x:v>
      </x:c>
      <x:c r="F69" s="145" t="str">
        <x:v>Fim do episódio</x:v>
      </x:c>
      <x:c r="G69" s="145" t="str">
        <x:v>Após a platina — Desperate Escape</x:v>
      </x:c>
      <x:c r="H69" s="145" t="str">
        <x:v>Sim</x:v>
      </x:c>
    </x:row>
    <x:row r="70">
      <x:c r="A70" s="145" t="str">
        <x:v>068</x:v>
      </x:c>
      <x:c r="B70" s="145" t="str">
        <x:v>The Great Escape</x:v>
      </x:c>
      <x:c r="C70" s="145" t="str">
        <x:v>Bronze</x:v>
      </x:c>
      <x:c r="D70" s="145" t="str">
        <x:v>Desperate Escape</x:v>
      </x:c>
      <x:c r="E70" s="145" t="str">
        <x:v>DE — Passagem 1 (Amateur)</x:v>
      </x:c>
      <x:c r="F70" s="145" t="str">
        <x:v>Tela de resultados</x:v>
      </x:c>
      <x:c r="G70" s="145" t="str">
        <x:v>Após a platina — Desperate Escape</x:v>
      </x:c>
      <x:c r="H70" s="145" t="str">
        <x:v>Sim</x:v>
      </x:c>
    </x:row>
    <x:row r="71">
      <x:c r="A71" s="145" t="str">
        <x:v>069</x:v>
      </x:c>
      <x:c r="B71" s="145" t="str">
        <x:v>Run the Gauntlet</x:v>
      </x:c>
      <x:c r="C71" s="145" t="str">
        <x:v>Prata</x:v>
      </x:c>
      <x:c r="D71" s="145" t="str">
        <x:v>Desperate Escape</x:v>
      </x:c>
      <x:c r="E71" s="145" t="str">
        <x:v>DE — Passagens 2 e 3</x:v>
      </x:c>
      <x:c r="F71" s="145" t="str">
        <x:v>Fim do episódio</x:v>
      </x:c>
      <x:c r="G71" s="145" t="str">
        <x:v>Após a platina — Desperate Escape</x:v>
      </x:c>
      <x:c r="H71" s="145" t="str">
        <x:v>Sim</x:v>
      </x:c>
    </x:row>
    <x:row r="72">
      <x:c r="A72" s="145" t="str">
        <x:v>070</x:v>
      </x:c>
      <x:c r="B72" s="145" t="str">
        <x:v>Way of the Warrior</x:v>
      </x:c>
      <x:c r="C72" s="145" t="str">
        <x:v>Bronze</x:v>
      </x:c>
      <x:c r="D72" s="145" t="str">
        <x:v>Desperate Escape</x:v>
      </x:c>
      <x:c r="E72" s="145" t="str">
        <x:v>DE — Passagem 1 (Amateur)</x:v>
      </x:c>
      <x:c r="F72" s="145" t="str">
        <x:v>Episódio inteiro em Amateur</x:v>
      </x:c>
      <x:c r="G72" s="145" t="str">
        <x:v>Após a platina — Desperate Escape</x:v>
      </x:c>
      <x:c r="H72" s="145" t="str">
        <x:v>Sim</x:v>
      </x:c>
    </x:row>
    <x:row r="73">
      <x:c r="A73" s="146" t="str">
        <x:v>071</x:v>
      </x:c>
      <x:c r="B73" s="146" t="str">
        <x:v>Shoot the Messenger</x:v>
      </x:c>
      <x:c r="C73" s="146" t="str">
        <x:v>Bronze</x:v>
      </x:c>
      <x:c r="D73" s="146" t="str">
        <x:v>Desperate Escape</x:v>
      </x:c>
      <x:c r="E73" s="146" t="str">
        <x:v>DE — Passagens 2 e 3</x:v>
      </x:c>
      <x:c r="F73" s="146" t="str">
        <x:v>Três áreas do episódio</x:v>
      </x:c>
      <x:c r="G73" s="146" t="str">
        <x:v>Após a platina — Desperate Escape</x:v>
      </x:c>
      <x:c r="H73" s="146" t="str">
        <x:v>Sim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6f7c0579ee84db5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2" hidden="0" customWidth="1"/>
    <x:col min="4" max="4" width="12" hidden="0" customWidth="1"/>
    <x:col min="5" max="5" width="20" hidden="0" customWidth="1"/>
    <x:col min="6" max="6" width="40" hidden="0" customWidth="1"/>
    <x:col min="8" max="8" width="22" hidden="0" customWidth="1"/>
    <x:col min="9" max="9" width="18" hidden="0" customWidth="1"/>
  </x:cols>
  <x:sheetData>
    <x:row r="1">
      <x:c r="A1" s="143" t="str">
        <x:v>CHECKLIST DE PUBLICAÇÃO</x:v>
      </x:c>
      <x:c r="B1" s="143"/>
      <x:c r="C1" s="143"/>
      <x:c r="D1" s="143"/>
      <x:c r="E1" s="143"/>
      <x:c r="F1" s="143"/>
      <x:c r="G1" s="122"/>
      <x:c r="H1" s="122"/>
      <x:c r="I1" s="122"/>
    </x:row>
    <x:row r="2">
      <x:c r="A2" s="138" t="str">
        <x:v>ID</x:v>
      </x:c>
      <x:c r="B2" s="138" t="str">
        <x:v>Área</x:v>
      </x:c>
      <x:c r="C2" s="138" t="str">
        <x:v>Controle</x:v>
      </x:c>
      <x:c r="D2" s="138" t="str">
        <x:v>Obrigatório</x:v>
      </x:c>
      <x:c r="E2" s="138" t="str">
        <x:v>Status</x:v>
      </x:c>
      <x:c r="F2" s="138" t="str">
        <x:v>Observação</x:v>
      </x:c>
      <x:c r="G2" s="122"/>
      <x:c r="H2" s="139" t="str">
        <x:v>KPI</x:v>
      </x:c>
      <x:c r="I2" s="139" t="str">
        <x:v>Valor</x:v>
      </x:c>
    </x:row>
    <x:row r="3">
      <x:c r="A3" s="122" t="str">
        <x:v>C01</x:v>
      </x:c>
      <x:c r="B3" s="122" t="str">
        <x:v>Versão</x:v>
      </x:c>
      <x:c r="C3" s="122" t="str">
        <x:v>PS4 nativo e PS5 retrocompatível</x:v>
      </x:c>
      <x:c r="D3" s="122" t="str">
        <x:v>Sim</x:v>
      </x:c>
      <x:c r="E3" s="122" t="str">
        <x:v>Concluído</x:v>
      </x:c>
      <x:c r="F3" s="122" t="str">
        <x:v>Sem segunda lista/autopop</x:v>
      </x:c>
      <x:c r="G3" s="122"/>
      <x:c r="H3" s="122" t="str">
        <x:v>Itens concluídos</x:v>
      </x:c>
      <x:c r="I3" s="122" t="n">
        <x:f>COUNTIF(E3:E18,"Concluído")</x:f>
        <x:v>15</x:v>
      </x:c>
    </x:row>
    <x:row r="4">
      <x:c r="A4" s="122" t="str">
        <x:v>C02</x:v>
      </x:c>
      <x:c r="B4" s="122" t="str">
        <x:v>Lista</x:v>
      </x:c>
      <x:c r="C4" s="122" t="str">
        <x:v>71 = 51+10+5+5</x:v>
      </x:c>
      <x:c r="D4" s="122" t="str">
        <x:v>Sim</x:v>
      </x:c>
      <x:c r="E4" s="122" t="str">
        <x:v>Concluído</x:v>
      </x:c>
      <x:c r="F4" s="122" t="str">
        <x:v>Matriz e guia conferidos</x:v>
      </x:c>
      <x:c r="G4" s="122"/>
      <x:c r="H4" s="122" t="str">
        <x:v>Pendentes externos</x:v>
      </x:c>
      <x:c r="I4" s="122" t="n">
        <x:f>COUNTIF(E3:E18,"Pendente externo")</x:f>
        <x:v>1</x:v>
      </x:c>
    </x:row>
    <x:row r="5">
      <x:c r="A5" s="122" t="str">
        <x:v>C03</x:v>
      </x:c>
      <x:c r="B5" s="122" t="str">
        <x:v>Coletáveis</x:v>
      </x:c>
      <x:c r="C5" s="122" t="str">
        <x:v>30 BSAA Emblems</x:v>
      </x:c>
      <x:c r="D5" s="122" t="str">
        <x:v>Sim</x:v>
      </x:c>
      <x:c r="E5" s="122" t="str">
        <x:v>Concluído</x:v>
      </x:c>
      <x:c r="F5" s="122" t="str">
        <x:v>Numerados 1–30</x:v>
      </x:c>
      <x:c r="G5" s="122"/>
      <x:c r="H5" s="122" t="str">
        <x:v>Taxa de conclusão</x:v>
      </x:c>
      <x:c r="I5" s="148" t="n">
        <x:f>I3/COUNTA(A3:A18)</x:f>
        <x:v>0.9375</x:v>
      </x:c>
    </x:row>
    <x:row r="6">
      <x:c r="A6" s="122" t="str">
        <x:v>C04</x:v>
      </x:c>
      <x:c r="B6" s="122" t="str">
        <x:v>Coletáveis</x:v>
      </x:c>
      <x:c r="C6" s="122" t="str">
        <x:v>50 tipos de tesouro</x:v>
      </x:c>
      <x:c r="D6" s="122" t="str">
        <x:v>Sim</x:v>
      </x:c>
      <x:c r="E6" s="122" t="str">
        <x:v>Concluído</x:v>
      </x:c>
      <x:c r="F6" s="122" t="str">
        <x:v>Primeira ocorrência segura</x:v>
      </x:c>
      <x:c r="G6" s="122"/>
      <x:c r="H6" s="122"/>
      <x:c r="I6" s="122"/>
    </x:row>
    <x:row r="7">
      <x:c r="A7" s="122" t="str">
        <x:v>C05</x:v>
      </x:c>
      <x:c r="B7" s="122" t="str">
        <x:v>Inventário</x:v>
      </x:c>
      <x:c r="C7" s="122" t="str">
        <x:v>27 itens de Stockpile</x:v>
      </x:c>
      <x:c r="D7" s="122" t="str">
        <x:v>Sim</x:v>
      </x:c>
      <x:c r="E7" s="122" t="str">
        <x:v>Concluído</x:v>
      </x:c>
      <x:c r="F7" s="122" t="str">
        <x:v>Simultâneos</x:v>
      </x:c>
      <x:c r="G7" s="122"/>
      <x:c r="H7" s="122"/>
      <x:c r="I7" s="122"/>
    </x:row>
    <x:row r="8">
      <x:c r="A8" s="122" t="str">
        <x:v>C06</x:v>
      </x:c>
      <x:c r="B8" s="122" t="str">
        <x:v>Upgrades</x:v>
      </x:c>
      <x:c r="C8" s="122" t="str">
        <x:v>18 armas aprimoráveis</x:v>
      </x:c>
      <x:c r="D8" s="122" t="str">
        <x:v>Sim</x:v>
      </x:c>
      <x:c r="E8" s="122" t="str">
        <x:v>Concluído</x:v>
      </x:c>
      <x:c r="F8" s="122" t="str">
        <x:v>Lista fechada</x:v>
      </x:c>
      <x:c r="G8" s="122"/>
      <x:c r="H8" s="122"/>
      <x:c r="I8" s="122"/>
    </x:row>
    <x:row r="9">
      <x:c r="A9" s="122" t="str">
        <x:v>C07</x:v>
      </x:c>
      <x:c r="B9" s="122" t="str">
        <x:v>Economia</x:v>
      </x:c>
      <x:c r="C9" s="122" t="str">
        <x:v>46 figuras / 22.000 EP</x:v>
      </x:c>
      <x:c r="D9" s="122" t="str">
        <x:v>Sim</x:v>
      </x:c>
      <x:c r="E9" s="122" t="str">
        <x:v>Concluído</x:v>
      </x:c>
      <x:c r="F9" s="122" t="str">
        <x:v>Reserva anterior a munição infinita</x:v>
      </x:c>
      <x:c r="G9" s="122"/>
      <x:c r="H9" s="122"/>
      <x:c r="I9" s="122"/>
    </x:row>
    <x:row r="10">
      <x:c r="A10" s="122" t="str">
        <x:v>C08</x:v>
      </x:c>
      <x:c r="B10" s="122" t="str">
        <x:v>Versus</x:v>
      </x:c>
      <x:c r="C10" s="122" t="str">
        <x:v>8 personagens / 134.000 EP</x:v>
      </x:c>
      <x:c r="D10" s="122" t="str">
        <x:v>Sim</x:v>
      </x:c>
      <x:c r="E10" s="122" t="str">
        <x:v>Concluído</x:v>
      </x:c>
      <x:c r="F10" s="122" t="str">
        <x:v>Custos individualizados</x:v>
      </x:c>
      <x:c r="G10" s="122"/>
      <x:c r="H10" s="122"/>
      <x:c r="I10" s="122"/>
    </x:row>
    <x:row r="11">
      <x:c r="A11" s="122" t="str">
        <x:v>C09</x:v>
      </x:c>
      <x:c r="B11" s="122" t="str">
        <x:v>Versus</x:v>
      </x:c>
      <x:c r="C11" s="122" t="str">
        <x:v>15 vitórias por modalidade / 50 melee</x:v>
      </x:c>
      <x:c r="D11" s="122" t="str">
        <x:v>Sim</x:v>
      </x:c>
      <x:c r="E11" s="122" t="str">
        <x:v>Concluído</x:v>
      </x:c>
      <x:c r="F11" s="122" t="str">
        <x:v>Valores PS4</x:v>
      </x:c>
      <x:c r="G11" s="122"/>
      <x:c r="H11" s="122"/>
      <x:c r="I11" s="122"/>
    </x:row>
    <x:row r="12">
      <x:c r="A12" s="122" t="str">
        <x:v>C10</x:v>
      </x:c>
      <x:c r="B12" s="122" t="str">
        <x:v>Lost</x:v>
      </x:c>
      <x:c r="C12" s="122" t="str">
        <x:v>18 Score Stars na mesma passagem</x:v>
      </x:c>
      <x:c r="D12" s="122" t="str">
        <x:v>Sim</x:v>
      </x:c>
      <x:c r="E12" s="122" t="str">
        <x:v>Concluído</x:v>
      </x:c>
      <x:c r="F12" s="122" t="str">
        <x:v>Dois pontos sem retorno</x:v>
      </x:c>
      <x:c r="G12" s="122"/>
      <x:c r="H12" s="122"/>
      <x:c r="I12" s="122"/>
    </x:row>
    <x:row r="13">
      <x:c r="A13" s="122" t="str">
        <x:v>C11</x:v>
      </x:c>
      <x:c r="B13" s="122" t="str">
        <x:v>Desperate</x:v>
      </x:c>
      <x:c r="C13" s="122" t="str">
        <x:v>150 eliminações pessoais</x:v>
      </x:c>
      <x:c r="D13" s="122" t="str">
        <x:v>Sim</x:v>
      </x:c>
      <x:c r="E13" s="122" t="str">
        <x:v>Concluído</x:v>
      </x:c>
      <x:c r="F13" s="122" t="str">
        <x:v>Mesma passagem</x:v>
      </x:c>
      <x:c r="G13" s="122"/>
      <x:c r="H13" s="122"/>
      <x:c r="I13" s="122"/>
    </x:row>
    <x:row r="14">
      <x:c r="A14" s="122" t="str">
        <x:v>C12</x:v>
      </x:c>
      <x:c r="B14" s="122" t="str">
        <x:v>Desperate</x:v>
      </x:c>
      <x:c r="C14" s="122" t="str">
        <x:v>3 Agitators</x:v>
      </x:c>
      <x:c r="D14" s="122" t="str">
        <x:v>Sim</x:v>
      </x:c>
      <x:c r="E14" s="122" t="str">
        <x:v>Concluído</x:v>
      </x:c>
      <x:c r="F14" s="122" t="str">
        <x:v>Rota Veteran</x:v>
      </x:c>
      <x:c r="G14" s="122"/>
      <x:c r="H14" s="122"/>
      <x:c r="I14" s="122"/>
    </x:row>
    <x:row r="15">
      <x:c r="A15" s="122" t="str">
        <x:v>C13</x:v>
      </x:c>
      <x:c r="B15" s="122" t="str">
        <x:v>Dificuldade</x:v>
      </x:c>
      <x:c r="C15" s="122" t="str">
        <x:v>Professional separado por conteúdo</x:v>
      </x:c>
      <x:c r="D15" s="122" t="str">
        <x:v>Sim</x:v>
      </x:c>
      <x:c r="E15" s="122" t="str">
        <x:v>Concluído</x:v>
      </x:c>
      <x:c r="F15" s="122" t="str">
        <x:v>Base/Lost/Desperate</x:v>
      </x:c>
      <x:c r="G15" s="122"/>
      <x:c r="H15" s="122"/>
      <x:c r="I15" s="122"/>
    </x:row>
    <x:row r="16">
      <x:c r="A16" s="122" t="str">
        <x:v>C14</x:v>
      </x:c>
      <x:c r="B16" s="122" t="str">
        <x:v>Online</x:v>
      </x:c>
      <x:c r="C16" s="122" t="str">
        <x:v>Teste de Versus antes de publicar</x:v>
      </x:c>
      <x:c r="D16" s="122" t="str">
        <x:v>Sim</x:v>
      </x:c>
      <x:c r="E16" s="122" t="str">
        <x:v>Pendente externo</x:v>
      </x:c>
      <x:c r="F16" s="122" t="str">
        <x:v>Executar no dia da publicação</x:v>
      </x:c>
      <x:c r="G16" s="122"/>
      <x:c r="H16" s="122"/>
      <x:c r="I16" s="122"/>
    </x:row>
    <x:row r="17">
      <x:c r="A17" s="122" t="str">
        <x:v>C15</x:v>
      </x:c>
      <x:c r="B17" s="122" t="str">
        <x:v>SEO</x:v>
      </x:c>
      <x:c r="C17" s="122" t="str">
        <x:v>Título, description e canonical</x:v>
      </x:c>
      <x:c r="D17" s="122" t="str">
        <x:v>Sim</x:v>
      </x:c>
      <x:c r="E17" s="122" t="str">
        <x:v>Concluído</x:v>
      </x:c>
      <x:c r="F17" s="122" t="str">
        <x:v>Ver checklist técnico</x:v>
      </x:c>
      <x:c r="G17" s="122"/>
      <x:c r="H17" s="122"/>
      <x:c r="I17" s="122"/>
    </x:row>
    <x:row r="18">
      <x:c r="A18" s="122" t="str">
        <x:v>C16</x:v>
      </x:c>
      <x:c r="B18" s="122" t="str">
        <x:v>Anti-bloat</x:v>
      </x:c>
      <x:c r="C18" s="122" t="str">
        <x:v>Um único roadmap</x:v>
      </x:c>
      <x:c r="D18" s="122" t="str">
        <x:v>Sim</x:v>
      </x:c>
      <x:c r="E18" s="122" t="str">
        <x:v>Concluído</x:v>
      </x:c>
      <x:c r="F18" s="122" t="str">
        <x:v>Pesquisa separada</x:v>
      </x:c>
      <x:c r="G18" s="122"/>
      <x:c r="H18" s="122"/>
      <x:c r="I18" s="122"/>
    </x:row>
  </x:sheetData>
  <x:mergeCells>
    <x:mergeCell ref="A1:F1"/>
  </x:mergeCells>
  <x:conditionalFormatting sqref="A3:F18">
    <x:cfRule type="expression" dxfId="10" priority="1">
      <x:formula>E3="Pendente externo"</x:formula>
    </x:cfRule>
    <x:cfRule type="expression" dxfId="11" priority="2">
      <x:formula>E3="Concluído"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5396649dc34675"/>
  </x:tableParts>
</x:worksheet>
</file>